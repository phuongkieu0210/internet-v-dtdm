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Internet và điện toán đám mây\Giai đoạn 5\"/>
    </mc:Choice>
  </mc:AlternateContent>
  <xr:revisionPtr revIDLastSave="0" documentId="8_{3949594D-0269-4A30-BF36-F996F43D3E6A}" xr6:coauthVersionLast="47" xr6:coauthVersionMax="47" xr10:uidLastSave="{00000000-0000-0000-0000-000000000000}"/>
  <bookViews>
    <workbookView xWindow="-108" yWindow="-108" windowWidth="23256" windowHeight="12456" tabRatio="500" firstSheet="15" activeTab="18" xr2:uid="{00000000-000D-0000-FFFF-FFFF00000000}"/>
  </bookViews>
  <sheets>
    <sheet name="Huong_dan" sheetId="1" r:id="rId1"/>
    <sheet name="Dashboard_GD5" sheetId="2" r:id="rId2"/>
    <sheet name="Bang_chi_so" sheetId="3" r:id="rId3"/>
    <sheet name="GD4_Dau_ra" sheetId="4" r:id="rId4"/>
    <sheet name="Ke_hoach" sheetId="5" r:id="rId5"/>
    <sheet name="GD3_Dau_vao" sheetId="6" r:id="rId6"/>
    <sheet name="Nhap_SEM" sheetId="7" r:id="rId7"/>
    <sheet name="Nhap_KOC" sheetId="9" r:id="rId8"/>
    <sheet name="Nhap_Traffic" sheetId="10" r:id="rId9"/>
    <sheet name="Nhap_Intent" sheetId="11" r:id="rId10"/>
    <sheet name="Tong_hop_kenh" sheetId="12" r:id="rId11"/>
    <sheet name="Sheet1" sheetId="13" r:id="rId12"/>
    <sheet name="Traffic_Mo_phong" sheetId="14" r:id="rId13"/>
    <sheet name="Lich_Social_14N" sheetId="15" r:id="rId14"/>
    <sheet name="Risk_Pivot" sheetId="16" r:id="rId15"/>
    <sheet name="Traffic_Ngay" sheetId="17" r:id="rId16"/>
    <sheet name="SEM CẤU HÌNH" sheetId="18" r:id="rId17"/>
    <sheet name="SEM KỊCH BẢN PHÂN TÍCH" sheetId="19" r:id="rId18"/>
    <sheet name="SEM TỪ ĐIỂN DỮ LIỆU" sheetId="20" r:id="rId19"/>
  </sheets>
  <calcPr calcId="181029"/>
  <fileRecoveryPr repairLoad="1"/>
</workbook>
</file>

<file path=xl/calcChain.xml><?xml version="1.0" encoding="utf-8"?>
<calcChain xmlns="http://schemas.openxmlformats.org/spreadsheetml/2006/main">
  <c r="B6" i="19" l="1"/>
  <c r="C6" i="19"/>
  <c r="B8" i="19"/>
  <c r="C8" i="19"/>
  <c r="B10" i="19"/>
  <c r="C10" i="19"/>
  <c r="B11" i="19"/>
  <c r="C11" i="19"/>
  <c r="B13" i="19"/>
  <c r="B14" i="19" s="1"/>
  <c r="C13" i="19"/>
  <c r="C14" i="19" s="1"/>
  <c r="B16" i="19"/>
  <c r="C16" i="19"/>
  <c r="I15" i="17"/>
  <c r="H15" i="17"/>
  <c r="G15" i="17"/>
  <c r="F15" i="17"/>
  <c r="E15" i="17"/>
  <c r="D15" i="17"/>
  <c r="C15" i="17"/>
  <c r="B15" i="17"/>
  <c r="I14" i="17"/>
  <c r="H14" i="17"/>
  <c r="G14" i="17"/>
  <c r="F14" i="17"/>
  <c r="E14" i="17"/>
  <c r="D14" i="17"/>
  <c r="C14" i="17"/>
  <c r="B14" i="17"/>
  <c r="I13" i="17"/>
  <c r="H13" i="17"/>
  <c r="G13" i="17"/>
  <c r="F13" i="17"/>
  <c r="E13" i="17"/>
  <c r="D13" i="17"/>
  <c r="C13" i="17"/>
  <c r="B13" i="17"/>
  <c r="I12" i="17"/>
  <c r="H12" i="17"/>
  <c r="G12" i="17"/>
  <c r="F12" i="17"/>
  <c r="E12" i="17"/>
  <c r="D12" i="17"/>
  <c r="C12" i="17"/>
  <c r="B12" i="17"/>
  <c r="I11" i="17"/>
  <c r="H11" i="17"/>
  <c r="G11" i="17"/>
  <c r="F11" i="17"/>
  <c r="E11" i="17"/>
  <c r="D11" i="17"/>
  <c r="C11" i="17"/>
  <c r="B11" i="17"/>
  <c r="I10" i="17"/>
  <c r="H10" i="17"/>
  <c r="G10" i="17"/>
  <c r="F10" i="17"/>
  <c r="E10" i="17"/>
  <c r="D10" i="17"/>
  <c r="C10" i="17"/>
  <c r="B10" i="17"/>
  <c r="I9" i="17"/>
  <c r="H9" i="17"/>
  <c r="G9" i="17"/>
  <c r="F9" i="17"/>
  <c r="E9" i="17"/>
  <c r="D9" i="17"/>
  <c r="C9" i="17"/>
  <c r="B9" i="17"/>
  <c r="I8" i="17"/>
  <c r="H8" i="17"/>
  <c r="G8" i="17"/>
  <c r="F8" i="17"/>
  <c r="E8" i="17"/>
  <c r="D8" i="17"/>
  <c r="C8" i="17"/>
  <c r="B8" i="17"/>
  <c r="I7" i="17"/>
  <c r="H7" i="17"/>
  <c r="G7" i="17"/>
  <c r="F7" i="17"/>
  <c r="E7" i="17"/>
  <c r="D7" i="17"/>
  <c r="C7" i="17"/>
  <c r="B7" i="17"/>
  <c r="I6" i="17"/>
  <c r="H6" i="17"/>
  <c r="G6" i="17"/>
  <c r="F6" i="17"/>
  <c r="E6" i="17"/>
  <c r="D6" i="17"/>
  <c r="C6" i="17"/>
  <c r="B6" i="17"/>
  <c r="I5" i="17"/>
  <c r="H5" i="17"/>
  <c r="G5" i="17"/>
  <c r="F5" i="17"/>
  <c r="E5" i="17"/>
  <c r="D5" i="17"/>
  <c r="C5" i="17"/>
  <c r="B5" i="17"/>
  <c r="I4" i="17"/>
  <c r="H4" i="17"/>
  <c r="G4" i="17"/>
  <c r="F4" i="17"/>
  <c r="E4" i="17"/>
  <c r="D4" i="17"/>
  <c r="C4" i="17"/>
  <c r="B4" i="17"/>
  <c r="I3" i="17"/>
  <c r="H3" i="17"/>
  <c r="G3" i="17"/>
  <c r="F3" i="17"/>
  <c r="E3" i="17"/>
  <c r="D3" i="17"/>
  <c r="C3" i="17"/>
  <c r="B3" i="17"/>
  <c r="I2" i="17"/>
  <c r="H2" i="17"/>
  <c r="G2" i="17"/>
  <c r="F2" i="17"/>
  <c r="E2" i="17"/>
  <c r="D2" i="17"/>
  <c r="C2" i="17"/>
  <c r="B2" i="17"/>
  <c r="M6" i="12"/>
  <c r="M5" i="12"/>
  <c r="G5" i="12"/>
  <c r="F5" i="12"/>
  <c r="K5" i="12" s="1"/>
  <c r="N5" i="12" s="1"/>
  <c r="E5" i="12"/>
  <c r="J5" i="12" s="1"/>
  <c r="D5" i="12"/>
  <c r="C5" i="12"/>
  <c r="B5" i="12"/>
  <c r="L5" i="12" s="1"/>
  <c r="M4" i="12"/>
  <c r="G4" i="12"/>
  <c r="F4" i="12"/>
  <c r="K4" i="12" s="1"/>
  <c r="N4" i="12" s="1"/>
  <c r="E4" i="12"/>
  <c r="J4" i="12" s="1"/>
  <c r="D4" i="12"/>
  <c r="C4" i="12"/>
  <c r="B4" i="12"/>
  <c r="L4" i="12" s="1"/>
  <c r="M3" i="12"/>
  <c r="G3" i="12"/>
  <c r="F3" i="12"/>
  <c r="K3" i="12" s="1"/>
  <c r="N3" i="12" s="1"/>
  <c r="E3" i="12"/>
  <c r="J3" i="12" s="1"/>
  <c r="D3" i="12"/>
  <c r="C3" i="12"/>
  <c r="B3" i="12"/>
  <c r="L3" i="12" s="1"/>
  <c r="M2" i="12"/>
  <c r="G2" i="12"/>
  <c r="F2" i="12"/>
  <c r="E2" i="12"/>
  <c r="C2" i="12"/>
  <c r="B2" i="12"/>
  <c r="E5" i="11"/>
  <c r="D5" i="11"/>
  <c r="E4" i="11"/>
  <c r="D4" i="11"/>
  <c r="E3" i="11"/>
  <c r="D3" i="11"/>
  <c r="E2" i="11"/>
  <c r="D2" i="11"/>
  <c r="D19" i="6"/>
  <c r="E19" i="6" s="1"/>
  <c r="D18" i="6"/>
  <c r="E18" i="6" s="1"/>
  <c r="D17" i="6"/>
  <c r="E17" i="6" s="1"/>
  <c r="B7" i="6"/>
  <c r="B17" i="2"/>
  <c r="B16" i="2"/>
  <c r="B15" i="2"/>
  <c r="B14" i="2"/>
  <c r="B13" i="2"/>
  <c r="B12" i="2"/>
  <c r="B11" i="2"/>
  <c r="B9" i="2"/>
  <c r="B10" i="2" s="1"/>
  <c r="B8" i="2"/>
  <c r="B6" i="2"/>
  <c r="B5" i="2"/>
  <c r="B4" i="2"/>
  <c r="B7" i="2" s="1"/>
  <c r="D6" i="12" l="1"/>
  <c r="G6" i="12"/>
  <c r="I5" i="12"/>
  <c r="H5" i="12"/>
  <c r="I4" i="12"/>
  <c r="H4" i="12"/>
  <c r="I3" i="12"/>
  <c r="H3" i="12"/>
  <c r="K2" i="12"/>
  <c r="N2" i="12" s="1"/>
  <c r="F6" i="12"/>
  <c r="K6" i="12" s="1"/>
  <c r="N6" i="12" s="1"/>
  <c r="E6" i="12"/>
  <c r="J6" i="12" s="1"/>
  <c r="J2" i="12"/>
  <c r="I2" i="12"/>
  <c r="H2" i="12"/>
  <c r="C6" i="12"/>
  <c r="L2" i="12"/>
  <c r="B6" i="12"/>
  <c r="L6" i="12" s="1"/>
  <c r="I6" i="12" l="1"/>
  <c r="H6" i="12"/>
</calcChain>
</file>

<file path=xl/sharedStrings.xml><?xml version="1.0" encoding="utf-8"?>
<sst xmlns="http://schemas.openxmlformats.org/spreadsheetml/2006/main" count="1279" uniqueCount="588">
  <si>
    <t>Ngày</t>
  </si>
  <si>
    <t>Kênh</t>
  </si>
  <si>
    <t>Mã nội dung</t>
  </si>
  <si>
    <t>Reach</t>
  </si>
  <si>
    <t>Impressions</t>
  </si>
  <si>
    <t>Tương tác</t>
  </si>
  <si>
    <t>Link clicks</t>
  </si>
  <si>
    <t>Đơn hàng</t>
  </si>
  <si>
    <t>Doanh thu (VND)</t>
  </si>
  <si>
    <t>Loại dữ liệu</t>
  </si>
  <si>
    <t>HƯỚNG DẪN SỬ DỤNG FILE GIAI ĐOẠN 5 – SOVA</t>
  </si>
  <si>
    <t>Mục</t>
  </si>
  <si>
    <t>Hướng dẫn</t>
  </si>
  <si>
    <t>Nguyên tắc dữ liệu</t>
  </si>
  <si>
    <t>Không được trình bày dữ liệu mô phỏng là số liệu thực tế. Sheet Traffic_Mo_phong được chuyển từ file người dùng cung cấp và gắn nhãn mô phỏng.</t>
  </si>
  <si>
    <t>Nhập SEM</t>
  </si>
  <si>
    <t>Khi có dữ liệu Google Ads thật/Preview, nhập vào Nhap_SEM. Nếu chỉ có Preview, chỉ ghi trạng thái/cấu hình; không bịa Impressions, Clicks, đơn hàng.</t>
  </si>
  <si>
    <t>Nhập Social</t>
  </si>
  <si>
    <t>Nhập từng bài/video ở Nhap_Social; phân biệt Organic/Paid. Chi phí boost chỉ ghi một lần ở Nhap_Social.</t>
  </si>
  <si>
    <t>Nhập KOC</t>
  </si>
  <si>
    <t>Danh sách 5 KOC hiện là đề xuất, chưa xác nhận hợp tác. Không điền views/reach/clicks/đơn nếu chưa có ảnh analytics hoặc hệ thống đơn.</t>
  </si>
  <si>
    <t>Nhập Traffic</t>
  </si>
  <si>
    <t>Nhap_Traffic hiện chứa ví dụ mô phỏng 14 ngày; thay bằng export GA4/Search Console/UTM thật khi có.</t>
  </si>
  <si>
    <t>Dashboard</t>
  </si>
  <si>
    <t>Dashboard_GD5 và Tong_hop_kenh là dashboard Excel/nguồn cấu trúc để nhập lên Google Sheets và kết nối Looker Studio. Chưa phải dashboard Looker Studio đã kết nối trực tuyến.</t>
  </si>
  <si>
    <t>CAC/ROAS</t>
  </si>
  <si>
    <t>Chỉ kết luận CAC/ROAS sau khi nhập chi phí, đơn hàng, doanh thu thực tế và điền mốc dự kiến từ GĐ3. Các ô trống không phải số 0 hiệu quả.</t>
  </si>
  <si>
    <t>Intent</t>
  </si>
  <si>
    <t>Nhap_Intent dùng dữ liệu bộ 500 keyword của GĐ4. Tỷ lệ theo keyword khác tỷ lệ theo lượt tìm kiếm; chọn rõ chỉ tiêu khi trình bày.</t>
  </si>
  <si>
    <t>Ngân sách</t>
  </si>
  <si>
    <t>Google 15.000.000/tháng, Meta 7.500.000/tháng, TikTok 6.000.000/tháng, dự phòng 1.500.000/tháng theo tài liệu GĐ5; đối chiếu file GĐ3 gốc trước khi nộp.</t>
  </si>
  <si>
    <t>Tên thương hiệu/SKU</t>
  </si>
  <si>
    <t>Tài liệu còn chỗ chưa thống nhất SOVA/Mie SOVA và giá Combo 3/4. Cần chốt trước khi đăng nội dung.</t>
  </si>
  <si>
    <t>Minh chứng cần lưu</t>
  </si>
  <si>
    <t>Ảnh Google Ads Preview/review; ảnh bài Fanpage/TikTok; ảnh Analytics; tin nhắn/brief KOC và xác nhận; export GA4/Ads; ảnh Looker Studio; bản chụp tình huống Pivot.</t>
  </si>
  <si>
    <t>SOVA | GIAI ĐOẠN 5 – OMNICHANNEL &amp; BI</t>
  </si>
  <si>
    <t>Bản dashboard Excel mẫu; dữ liệu traffic 01–14/10/2026 là mô phỏng, không phải kết quả thực tế.</t>
  </si>
  <si>
    <t>Trạng thái dữ liệu</t>
  </si>
  <si>
    <t>Organic Sessions</t>
  </si>
  <si>
    <t>Sessions từ Organic Search (mô phỏng)</t>
  </si>
  <si>
    <t>Traffic: mô phỏng</t>
  </si>
  <si>
    <t>Paid Sessions</t>
  </si>
  <si>
    <t>Sessions từ quảng cáo trả phí (mô phỏng)</t>
  </si>
  <si>
    <t>SEM/Social/KOC: chờ dữ liệu thật</t>
  </si>
  <si>
    <t>Social Organic Sessions</t>
  </si>
  <si>
    <t>Sessions từ Social tự nhiên (mô phỏng)</t>
  </si>
  <si>
    <t>CAC/ROAS: chưa đủ dữ liệu để kết luận</t>
  </si>
  <si>
    <t>Tổng Sessions</t>
  </si>
  <si>
    <t>Tổng sessions, không cộng clicks vào sessions</t>
  </si>
  <si>
    <t>Paid Spend</t>
  </si>
  <si>
    <t>Chi phí paid trong dữ liệu mô phỏng</t>
  </si>
  <si>
    <t>Paid Impressions</t>
  </si>
  <si>
    <t>Lượt hiển thị paid</t>
  </si>
  <si>
    <t>Paid CPM</t>
  </si>
  <si>
    <t>Chi phí/1.000 impressions</t>
  </si>
  <si>
    <t>Intent Commercial – tỷ lệ keyword</t>
  </si>
  <si>
    <t>Lấy từ bộ 500 keyword GĐ4</t>
  </si>
  <si>
    <t>Intent Informational – tỷ lệ keyword</t>
  </si>
  <si>
    <t>Intent Navigational – tỷ lệ keyword</t>
  </si>
  <si>
    <t>Intent Transactional – tỷ lệ keyword</t>
  </si>
  <si>
    <t>Doanh thu ghi nhận</t>
  </si>
  <si>
    <t>Hiện chưa có doanh thu thực tế; sẽ là 0/trống cho đến khi nhập dữ liệu</t>
  </si>
  <si>
    <t>CAC tổng</t>
  </si>
  <si>
    <t>Chi phí / đơn hàng, chỉ có ý nghĩa khi nhập chi phí và đơn thật</t>
  </si>
  <si>
    <t>ROAS tổng</t>
  </si>
  <si>
    <t>Doanh thu / chi phí; không diễn giải khi chưa có dữ liệu thực</t>
  </si>
  <si>
    <t>STT</t>
  </si>
  <si>
    <t>Nhóm</t>
  </si>
  <si>
    <t>Chỉ số</t>
  </si>
  <si>
    <t>Định nghĩa</t>
  </si>
  <si>
    <t>Công thức</t>
  </si>
  <si>
    <t>Nguồn lấy dữ liệu</t>
  </si>
  <si>
    <t>Người cung cấp</t>
  </si>
  <si>
    <t>Sheet nhập</t>
  </si>
  <si>
    <t>Dùng ở bước (GĐ5)</t>
  </si>
  <si>
    <t>Biểu đồ gợi ý trên Looker Studio</t>
  </si>
  <si>
    <t>Hiển thị</t>
  </si>
  <si>
    <t>Số lần quảng cáo hoặc nội dung được hiển thị</t>
  </si>
  <si>
    <t>Tổng từ báo cáo nền tảng</t>
  </si>
  <si>
    <t>Google Ads; Meta Insights; TikTok Analytics</t>
  </si>
  <si>
    <t>TV2 (SEM); TV4 (Social, KOC)</t>
  </si>
  <si>
    <t>Nhap_SEM; Nhap_Social; Nhap_KOC</t>
  </si>
  <si>
    <t>Bước 7</t>
  </si>
  <si>
    <t>Cột theo kênh; đường theo ngày</t>
  </si>
  <si>
    <t>Số người duy nhất nhìn thấy nội dung (chỉ có ở Social và KOC)</t>
  </si>
  <si>
    <t>Meta Insights; TikTok Analytics; số liệu KOC cung cấp</t>
  </si>
  <si>
    <t>TV4</t>
  </si>
  <si>
    <t>Nhap_Social; Nhap_KOC</t>
  </si>
  <si>
    <t>Cột theo kênh</t>
  </si>
  <si>
    <t>CPM</t>
  </si>
  <si>
    <t>Chi phí cho 1.000 lượt hiển thị</t>
  </si>
  <si>
    <t>Chi phí ÷ Impressions × 1.000</t>
  </si>
  <si>
    <t>Tính từ Chi phí và Impressions</t>
  </si>
  <si>
    <t>TV1 tổng hợp</t>
  </si>
  <si>
    <t>Tong_hop_kenh</t>
  </si>
  <si>
    <t>Bảng và cột so sánh CPM giữa các kênh</t>
  </si>
  <si>
    <t>Clicks / Link clicks</t>
  </si>
  <si>
    <t>Số lượt nhấp vào quảng cáo hoặc link về Landing Page</t>
  </si>
  <si>
    <t>TV2; TV4</t>
  </si>
  <si>
    <t>Bảng theo kênh</t>
  </si>
  <si>
    <t>CTR</t>
  </si>
  <si>
    <t>Tỷ lệ nhấp trên lượt hiển thị</t>
  </si>
  <si>
    <t>Clicks ÷ Impressions</t>
  </si>
  <si>
    <t>Tính từ Clicks và Impressions</t>
  </si>
  <si>
    <t>CPC</t>
  </si>
  <si>
    <t>Chi phí trung bình cho một lượt nhấp</t>
  </si>
  <si>
    <t>Chi phí ÷ Clicks</t>
  </si>
  <si>
    <t>Tính từ Chi phí và Clicks</t>
  </si>
  <si>
    <t>Bước 7, 10</t>
  </si>
  <si>
    <t>Bảng; đối chiếu với dải giá thầu ở Transactional_Keywords</t>
  </si>
  <si>
    <t>Traffic</t>
  </si>
  <si>
    <t>Organic Traffic (Sessions)</t>
  </si>
  <si>
    <t>Lượt truy cập Website/Landing Page từ kết quả tìm kiếm tự nhiên</t>
  </si>
  <si>
    <t>Tổng Sessions có Nguồn truy cập = Organic Search</t>
  </si>
  <si>
    <t>Google Analytics; Google Search Console</t>
  </si>
  <si>
    <t>TV3</t>
  </si>
  <si>
    <t>Nhap_Traffic</t>
  </si>
  <si>
    <t>Bước 8</t>
  </si>
  <si>
    <t>Đường theo ngày; cột so sánh với Paid</t>
  </si>
  <si>
    <t>Paid Traffic (Sessions)</t>
  </si>
  <si>
    <t>Lượt truy cập từ quảng cáo trả phí (Google Ads, Meta/TikTok Ads)</t>
  </si>
  <si>
    <t>Tổng Sessions có Nhóm = Paid</t>
  </si>
  <si>
    <t>Google Analytics; báo cáo Ads</t>
  </si>
  <si>
    <t>Đường theo ngày; cột so sánh với Organic</t>
  </si>
  <si>
    <t>Social Traffic (Organic/Paid)</t>
  </si>
  <si>
    <t>Lượt truy cập từ Fanpage, TikTok, KOC, tách tự nhiên và trả phí</t>
  </si>
  <si>
    <t>Tổng Sessions theo Nguồn truy cập Social Organic, Social Paid, KOC</t>
  </si>
  <si>
    <t>Google Analytics; UTM; link ở bio</t>
  </si>
  <si>
    <t>TV3 và TV4</t>
  </si>
  <si>
    <t>Cột chồng theo nguồn</t>
  </si>
  <si>
    <t>Ý định tìm kiếm</t>
  </si>
  <si>
    <t>Tỷ lệ nhóm Search Intent</t>
  </si>
  <si>
    <t>Tỷ trọng Commercial, Informational, Navigational, Transactional trong bộ 500 từ khóa</t>
  </si>
  <si>
    <t>Số từ khóa (hoặc lượt tìm) của nhóm ÷ tổng</t>
  </si>
  <si>
    <t>Sheet Intent_Summary của Giai đoạn 4</t>
  </si>
  <si>
    <t>TV1</t>
  </si>
  <si>
    <t>Nhap_Intent</t>
  </si>
  <si>
    <t>Bước 9</t>
  </si>
  <si>
    <t>Biểu đồ tròn hoặc cột</t>
  </si>
  <si>
    <t>Hiệu quả</t>
  </si>
  <si>
    <t>Số đơn ghi nhận theo kênh tạo ra đơn</t>
  </si>
  <si>
    <t>Tổng từ bản ghi theo kênh</t>
  </si>
  <si>
    <t>Tin nhắn chốt đơn; hệ thống đơn hàng; mã KOC</t>
  </si>
  <si>
    <t>Bước 9, 10</t>
  </si>
  <si>
    <t>Doanh thu</t>
  </si>
  <si>
    <t>Doanh thu thực tế (hoặc ước tính, có ghi chú) theo kênh</t>
  </si>
  <si>
    <t>Hệ thống đơn hàng</t>
  </si>
  <si>
    <t>Cột so sánh với doanh thu dự kiến GĐ3</t>
  </si>
  <si>
    <t>CAC</t>
  </si>
  <si>
    <t>Chi phí để có một đơn/khách hàng</t>
  </si>
  <si>
    <t>Chi phí ÷ Đơn hàng</t>
  </si>
  <si>
    <t>Tính từ Chi phí và Đơn hàng</t>
  </si>
  <si>
    <t>Đường theo thời gian; thẻ số kèm cảnh báo</t>
  </si>
  <si>
    <t>ROAS</t>
  </si>
  <si>
    <t>Doanh thu trên mỗi đồng chi phí quảng cáo</t>
  </si>
  <si>
    <t>Doanh thu ÷ Chi phí</t>
  </si>
  <si>
    <t>Tính từ Doanh thu và Chi phí</t>
  </si>
  <si>
    <t>Đường theo thời gian; thẻ số</t>
  </si>
  <si>
    <t>Rủi ro</t>
  </si>
  <si>
    <t>Cảnh báo CAC</t>
  </si>
  <si>
    <t>CAC vượt ngưỡng so với CAC dự kiến GĐ3 (đề bài nêu tình huống tăng 20%)</t>
  </si>
  <si>
    <t>CAC thực tế ≥ CAC dự kiến × (1 + ngưỡng)</t>
  </si>
  <si>
    <t>GD3_Dau_vao (CAC dự kiến, ngưỡng 20%)</t>
  </si>
  <si>
    <t>Bước 10</t>
  </si>
  <si>
    <t>Thẻ số đổi màu</t>
  </si>
  <si>
    <t>Lãi gộp dự kiến mỗi SKU</t>
  </si>
  <si>
    <t>Giá bán trừ giá vốn dự kiến, dùng làm mốc tham chiếu cho CAC</t>
  </si>
  <si>
    <t>Giá bán − Giá vốn</t>
  </si>
  <si>
    <t>Bước 1 Giai đoạn 4 (giá bán, giá vốn dự kiến)</t>
  </si>
  <si>
    <t>GD3_Dau_vao</t>
  </si>
  <si>
    <t>Bảng</t>
  </si>
  <si>
    <t>Hạng mục đầu ra Giai đoạn 4</t>
  </si>
  <si>
    <t>Nội dung và vị trí lưu</t>
  </si>
  <si>
    <t>Người bàn giao</t>
  </si>
  <si>
    <t>Tình trạng ghi nhận ở Bước 10 GĐ4</t>
  </si>
  <si>
    <t>Dùng ở GĐ5 (bước)</t>
  </si>
  <si>
    <t>Xác nhận hiện tại</t>
  </si>
  <si>
    <t>Hero Product brief và checklist</t>
  </si>
  <si>
    <t>File Giai đoạn 4 – Bước 1; 10 SKU, USP, chân dung khách hàng, cấu trúc Landing Page</t>
  </si>
  <si>
    <t>TV1 – Phương Kiều</t>
  </si>
  <si>
    <t>Đã có; cần chốt SKU chính (đề xuất BT750-BK) và tên thương hiệu</t>
  </si>
  <si>
    <t>Bước 1, 9</t>
  </si>
  <si>
    <t>Website/Landing Page</t>
  </si>
  <si>
    <t>Website 5 trang; URL chưa có; ảnh Hình 1–5</t>
  </si>
  <si>
    <t>TV3 – Anh Khoa</t>
  </si>
  <si>
    <t>Cần URL, xác nhận nền tảng (PaaS hay WordPress), đối chiếu brief 9 khối</t>
  </si>
  <si>
    <t>Bước 2, 8</t>
  </si>
  <si>
    <t>Nhóm từ khóa Transactional</t>
  </si>
  <si>
    <t>Sheet Transactional_Keywords, 27 từ khóa; phân loại: 10 dùng được, 6 giữ lại, 11 chưa chạy</t>
  </si>
  <si>
    <t>TV1 → TV2</t>
  </si>
  <si>
    <t>Đã có</t>
  </si>
  <si>
    <t>Bước 2</t>
  </si>
  <si>
    <t>Mẫu RSA</t>
  </si>
  <si>
    <t>Sheet RSA_Ads (4 mẫu), RSA_Kiem_Tra_Ky_Tu (52/52 đạt giới hạn ký tự); đề xuất chạy trước RSA 1, RSA 3 và phần 1000ml của RSA 4</t>
  </si>
  <si>
    <t>TV2 – Phương Thúy</t>
  </si>
  <si>
    <t>Bản nháp; cần bổ sung tiêu đề có SOVA, dung tích, màu; hoãn RSA 2</t>
  </si>
  <si>
    <t>Bảng Keyword–USP–CTA và checklist đồng bộ</t>
  </si>
  <si>
    <t>Sheet Keyword_USP_CTA, LandingPage_Check</t>
  </si>
  <si>
    <t>TV2, TV3</t>
  </si>
  <si>
    <t>9/10 mục checklist chưa có kết luận</t>
  </si>
  <si>
    <t>Bước 2, 10</t>
  </si>
  <si>
    <t>Prompt Gen-AI</t>
  </si>
  <si>
    <t>Sheet Prompt_GenAI</t>
  </si>
  <si>
    <t>Cần chạy thật và chụp ảnh kết quả</t>
  </si>
  <si>
    <t>Fanpage</t>
  </si>
  <si>
    <t>Thông tin, nhận diện, 7 bài mẫu, lịch đăng 14 ngày (Bước 7 GĐ4)</t>
  </si>
  <si>
    <t>TV4 – Minh Thảo</t>
  </si>
  <si>
    <t>Cần tạo/hoàn thiện Page, điền Hotline/Zalo, chụp 5 ảnh</t>
  </si>
  <si>
    <t>Bước 3</t>
  </si>
  <si>
    <t>TikTok</t>
  </si>
  <si>
    <t>Kênh Sovaa365, 3 kịch bản, hashtag, brief KOC (Bước 8 GĐ4)</t>
  </si>
  <si>
    <t>Cần chụp 3 ảnh; quay thử kịch bản 1</t>
  </si>
  <si>
    <t>Bước 3, 4</t>
  </si>
  <si>
    <t>Dữ liệu giá, ngân sách, chính sách</t>
  </si>
  <si>
    <t>Bảng 10 SKU; ngân sách GĐ3; bảo hành, đổi trả, giao hàng dự kiến</t>
  </si>
  <si>
    <t>Chính sách chưa có thời hạn cụ thể; giá Combo cần đối chiếu</t>
  </si>
  <si>
    <t>Bộ minh chứng Chương III</t>
  </si>
  <si>
    <t>Ảnh và tệp theo bảng 9.3 (Bước 9 GĐ4)</t>
  </si>
  <si>
    <t>Chưa đủ; chờ các ảnh còn thiếu</t>
  </si>
  <si>
    <t>Bước 1</t>
  </si>
  <si>
    <t>Bước GĐ5</t>
  </si>
  <si>
    <t>Hoạt động</t>
  </si>
  <si>
    <t>Phụ trách</t>
  </si>
  <si>
    <t>Phối hợp</t>
  </si>
  <si>
    <t>Điều kiện cần xong trước</t>
  </si>
  <si>
    <t>Dữ liệu và minh chứng thu được</t>
  </si>
  <si>
    <t>Ghi vào sheet</t>
  </si>
  <si>
    <t>Thời hạn</t>
  </si>
  <si>
    <t>Trạng thái</t>
  </si>
  <si>
    <t>Kích hoạt hoặc chuẩn bị chiến dịch SEM trên Google Ads bằng mẫu RSA Giai đoạn 4</t>
  </si>
  <si>
    <t>URL Landing Page; checklist đồng bộ Keyword–RSA–Landing Page; ảnh chạy prompt thật</t>
  </si>
  <si>
    <t>Ảnh chiến dịch hoặc Preview Ads; chi phí, Impressions, Clicks nếu có chạy thật</t>
  </si>
  <si>
    <t>Nhap_SEM</t>
  </si>
  <si>
    <t>Đăng nội dung Fanpage và TikTok theo lịch 14 ngày; theo dõi Reach, Impressions</t>
  </si>
  <si>
    <t>Fanpage và TikTok đã tạo; điền Hotline/Zalo; thông số sản phẩm đã xác minh</t>
  </si>
  <si>
    <t>Reach, Impressions, lượt xem, tương tác, link clicks; ảnh minh chứng</t>
  </si>
  <si>
    <t>Nhap_Social</t>
  </si>
  <si>
    <t>Bước 4</t>
  </si>
  <si>
    <t>Hợp tác 3–5 KOC; xác định vai trò tăng Reach</t>
  </si>
  <si>
    <t>Chọn số KOC (đề yêu cầu 3–5, GĐ3 giả định 8); brief KOC; chốt mã ưu đãi/link theo dõi</t>
  </si>
  <si>
    <t>Danh sách KOC, ngày đăng, views, Reach, đơn từ mã; ảnh hoặc kế hoạch</t>
  </si>
  <si>
    <t>Nhap_KOC</t>
  </si>
  <si>
    <t>Bước 5</t>
  </si>
  <si>
    <t>Thu thập dữ liệu đa kênh: TV2 (SEM), TV3 (Organic/Paid Traffic), TV4 (Reach, Impressions, Social Traffic)</t>
  </si>
  <si>
    <t>TV2, TV3, TV4</t>
  </si>
  <si>
    <t>TV1 chuẩn hóa</t>
  </si>
  <si>
    <t>Công cụ đo (Google Analytics, Meta Pixel) và UTM theo kênh đã cài</t>
  </si>
  <si>
    <t>Dữ liệu đa kênh đã chuẩn hóa</t>
  </si>
  <si>
    <t>Nhap_SEM; Nhap_Social; Nhap_KOC; Nhap_Traffic</t>
  </si>
  <si>
    <t>Bước 6</t>
  </si>
  <si>
    <t>Kết nối Google Sheets với Looker Studio, kiểm tra trường dữ liệu</t>
  </si>
  <si>
    <t>File này đã đưa lên Google Sheets</t>
  </si>
  <si>
    <t>Dashboard nhận đúng dữ liệu</t>
  </si>
  <si>
    <t>Tong_hop_kenh và các sheet Nhap_*</t>
  </si>
  <si>
    <t>Trực quan hóa Reach, Impressions và CPM</t>
  </si>
  <si>
    <t>TV2, TV4</t>
  </si>
  <si>
    <t>Dữ liệu SEM và Social đã nhập</t>
  </si>
  <si>
    <t>Dashboard Reach/Impressions và CPM</t>
  </si>
  <si>
    <t>Đo Organic Traffic và Paid Traffic</t>
  </si>
  <si>
    <t>Google Analytics/Search Console có dữ liệu</t>
  </si>
  <si>
    <t>Bảng Traffic và biểu đồ</t>
  </si>
  <si>
    <t>Trực quan hóa Intent, doanh thu dự kiến, CAC và ROAS; đối chiếu GĐ3</t>
  </si>
  <si>
    <t>Cả nhóm</t>
  </si>
  <si>
    <t>Điền CAC, ROAS, doanh thu dự kiến của GĐ3 vào GD3_Dau_vao</t>
  </si>
  <si>
    <t>Dashboard tổng hợp</t>
  </si>
  <si>
    <t>Nhap_Intent; Tong_hop_kenh; GD3_Dau_vao</t>
  </si>
  <si>
    <t>Quản trị rủi ro và Pivot (tình huống CAC tăng 20%)</t>
  </si>
  <si>
    <t>Dashboard hoạt động</t>
  </si>
  <si>
    <t>Bảng Risk → KPI → Nguyên nhân → Pivot → Kết quả dự kiến</t>
  </si>
  <si>
    <t>Tong_hop_kenh (cột Cảnh báo)</t>
  </si>
  <si>
    <t>Hạng mục</t>
  </si>
  <si>
    <t>Giá trị</t>
  </si>
  <si>
    <t>Đơn vị</t>
  </si>
  <si>
    <t>Nguồn / ghi chú</t>
  </si>
  <si>
    <t>Ngân sách Meta Ads mỗi tháng</t>
  </si>
  <si>
    <t>VND</t>
  </si>
  <si>
    <t>Giai đoạn 3, trích trong Bước 7 file Giai đoạn 4</t>
  </si>
  <si>
    <t>Ngân sách boost TikTok mỗi tháng</t>
  </si>
  <si>
    <t>Giai đoạn 3, trích trong Bước 8 file Giai đoạn 4</t>
  </si>
  <si>
    <t>Số KOC theo Giai đoạn 3</t>
  </si>
  <si>
    <t>KOC</t>
  </si>
  <si>
    <t>Giai đoạn 5 chốt 5 KOC theo yêu cầu đề; thay giả định 8 KOC ở GĐ3.</t>
  </si>
  <si>
    <t>Phí đăng mỗi KOC</t>
  </si>
  <si>
    <t>Giai đoạn 3 (mục 8.6)</t>
  </si>
  <si>
    <t>Giá vốn bình 500ml gửi seeding</t>
  </si>
  <si>
    <t>Giá vốn dự kiến, Bước 1 Giai đoạn 4</t>
  </si>
  <si>
    <t>Chi phí KOC theo Giai đoạn 3</t>
  </si>
  <si>
    <t>Công thức gồm phí đăng 500.000 + giá vốn seeding 95.000 + vận chuyển 30.000/KOC; mô phỏng.</t>
  </si>
  <si>
    <t>Ngân sách Google Ads mỗi tháng</t>
  </si>
  <si>
    <t>Theo tài liệu GĐ5: ngân sách Google Ads dự kiến từ GĐ3, 15.000.000 VND/tháng; cần đối chiếu file GĐ3 gốc.</t>
  </si>
  <si>
    <t>Doanh thu dự kiến Giai đoạn 3</t>
  </si>
  <si>
    <t>Lấy từ Giai đoạn 3</t>
  </si>
  <si>
    <t>CAC dự kiến Giai đoạn 3</t>
  </si>
  <si>
    <t>VND/đơn</t>
  </si>
  <si>
    <t>Lấy từ Giai đoạn 3; dùng làm mốc cảnh báo</t>
  </si>
  <si>
    <t>ROAS dự kiến Giai đoạn 3</t>
  </si>
  <si>
    <t>lần</t>
  </si>
  <si>
    <t>Ngưỡng cảnh báo CAC tăng</t>
  </si>
  <si>
    <t>%</t>
  </si>
  <si>
    <t>Đề bài (tình huống CAC tăng 20% do đối thủ cạnh tranh giá thầu)</t>
  </si>
  <si>
    <t>Số KOC thực hiện ở Giai đoạn 5</t>
  </si>
  <si>
    <t>Đề yêu cầu 3–5 KOC; nhóm chọn số cụ thể</t>
  </si>
  <si>
    <t>Giá bán và giá vốn dự kiến (Bước 1 Giai đoạn 4)</t>
  </si>
  <si>
    <t>SKU</t>
  </si>
  <si>
    <t>Giá bán (VND)</t>
  </si>
  <si>
    <t>Giá vốn dự kiến (VND)</t>
  </si>
  <si>
    <t>Lãi gộp (VND)</t>
  </si>
  <si>
    <t>Biên lãi gộp</t>
  </si>
  <si>
    <t>Bình 500ml</t>
  </si>
  <si>
    <t>Bình 750ml</t>
  </si>
  <si>
    <t>Bình 1000ml</t>
  </si>
  <si>
    <t>Chiến dịch</t>
  </si>
  <si>
    <t>Nhóm quảng cáo</t>
  </si>
  <si>
    <t>Từ khóa chính</t>
  </si>
  <si>
    <t>Chi phí (VND)</t>
  </si>
  <si>
    <t>Clicks</t>
  </si>
  <si>
    <t>KOC_ID</t>
  </si>
  <si>
    <t>Tên kênh</t>
  </si>
  <si>
    <t>Nền tảng</t>
  </si>
  <si>
    <t>Link bài/video</t>
  </si>
  <si>
    <t>Ngày đăng</t>
  </si>
  <si>
    <t>Phí đăng (VND)</t>
  </si>
  <si>
    <t>Chi phí seeding (VND)</t>
  </si>
  <si>
    <t>Views</t>
  </si>
  <si>
    <t>Đơn hàng (mã KOC)</t>
  </si>
  <si>
    <t>KOC-01</t>
  </si>
  <si>
    <t>@ltthuhinn</t>
  </si>
  <si>
    <t>Đề xuất – chưa liên hệ</t>
  </si>
  <si>
    <t>KOC-02</t>
  </si>
  <si>
    <t>@minimeow154</t>
  </si>
  <si>
    <t>KOC-03</t>
  </si>
  <si>
    <t>@quyendigym</t>
  </si>
  <si>
    <t>KOC-04</t>
  </si>
  <si>
    <t>@hoang.real.review</t>
  </si>
  <si>
    <t>KOC-05</t>
  </si>
  <si>
    <t>@tinkerboong</t>
  </si>
  <si>
    <t>Nguồn truy cập</t>
  </si>
  <si>
    <t>Sessions</t>
  </si>
  <si>
    <t>Users</t>
  </si>
  <si>
    <t>Ghi chú nguồn</t>
  </si>
  <si>
    <t>Organic Search</t>
  </si>
  <si>
    <t>Organic</t>
  </si>
  <si>
    <t>GA4 + Search Console; Sessions từ GA4; Clicks/Impressions từ Search Console. DỮ LIỆU MÔ PHỎNG, không phải số liệu GA4/Ads thực tế.</t>
  </si>
  <si>
    <t>Google Ads</t>
  </si>
  <si>
    <t>Paid</t>
  </si>
  <si>
    <t>GA4 + Google Ads; Sessions khác Clicks; không cộng hai chỉ số với nhau. DỮ LIỆU MÔ PHỎNG, không phải số liệu GA4/Ads thực tế.</t>
  </si>
  <si>
    <t>Facebook/TikTok (mô phỏng)</t>
  </si>
  <si>
    <t>Social Organic</t>
  </si>
  <si>
    <t>GA4 + Meta Insights ; Social Traffic không trả phí; Reach/Impressions từ mạng xã hội. DỮ LIỆU MÔ PHỎNG, không phải số liệu GA4/Ads thực tế.</t>
  </si>
  <si>
    <t>GA4 + Search Console ; Sessions từ GA4; Clicks/Impressions từ Search Console. DỮ LIỆU MÔ PHỎNG, không phải số liệu GA4/Ads thực tế.</t>
  </si>
  <si>
    <t>GA4 + Google Ads ; Sessions khác Clicks; không cộng hai chỉ số với nhau. DỮ LIỆU MÔ PHỎNG, không phải số liệu GA4/Ads thực tế.</t>
  </si>
  <si>
    <t>GA4 + Meta Insights; Social Traffic không trả phí; Reach/Impressions từ mạng xã hội. DỮ LIỆU MÔ PHỎNG, không phải số liệu GA4/Ads thực tế.</t>
  </si>
  <si>
    <t>Search_Intent</t>
  </si>
  <si>
    <t>So_keyword</t>
  </si>
  <si>
    <t>Luot_tim_thang</t>
  </si>
  <si>
    <t>Ty_le_theo_keyword</t>
  </si>
  <si>
    <t>Ty_le_theo_luot_tim</t>
  </si>
  <si>
    <t>Commercial</t>
  </si>
  <si>
    <t>Informational</t>
  </si>
  <si>
    <t>Navigational</t>
  </si>
  <si>
    <t>Transactional</t>
  </si>
  <si>
    <t>Nguồn: sheet Intent_Summary (file Buoc_456.xlsx, Bước 4 Giai đoạn 4), bộ 500 từ khóa. Tỷ lệ gốc Ty_le_% trong file nguồn tính theo số từ khóa; cột Ty_le_theo_luot_tim thêm để so sánh theo nhu cầu tìm kiếm.</t>
  </si>
  <si>
    <t>CPM (VND)</t>
  </si>
  <si>
    <t>CPC (VND)</t>
  </si>
  <si>
    <t>CAC (VND/đơn)</t>
  </si>
  <si>
    <t>ROAS (lần)</t>
  </si>
  <si>
    <t>CAC dự kiến GĐ3</t>
  </si>
  <si>
    <t>Google Ads (SEM)</t>
  </si>
  <si>
    <t>Tổng cộng</t>
  </si>
  <si>
    <t>BƯỚC 5 – DỮ LIỆU THÔ ĐA KÊNH (MÔ PHỎNG)</t>
  </si>
  <si>
    <t>Nguồn công cụ</t>
  </si>
  <si>
    <t>Ghi chú</t>
  </si>
  <si>
    <t>GA4 + Search Console</t>
  </si>
  <si>
    <t>Sessions từ GA4; Clicks/Impressions từ Search Console.</t>
  </si>
  <si>
    <t>TV3 – Anh Khoa / TV2 – Phương Thúy</t>
  </si>
  <si>
    <t>GA4 + Google Ads</t>
  </si>
  <si>
    <t>Sessions khác Clicks; không cộng hai chỉ số với nhau.</t>
  </si>
  <si>
    <t xml:space="preserve">GA4 + Meta Insights </t>
  </si>
  <si>
    <t>Social Traffic không trả phí; Reach/Impressions từ mạng xã hội.</t>
  </si>
  <si>
    <t xml:space="preserve">GA4 + Search Console </t>
  </si>
  <si>
    <t xml:space="preserve">GA4 + Google Ads </t>
  </si>
  <si>
    <t>GA4 + Meta Insights</t>
  </si>
  <si>
    <t>Nguồn công cụ giả định</t>
  </si>
  <si>
    <t>Ước tính/mô phỏng</t>
  </si>
  <si>
    <t>Nội dung</t>
  </si>
  <si>
    <t>Trụ cột/phễu</t>
  </si>
  <si>
    <t>CTA</t>
  </si>
  <si>
    <t>FP-01</t>
  </si>
  <si>
    <t>Giới thiệu SOVA, ba dung tích</t>
  </si>
  <si>
    <t>Awareness</t>
  </si>
  <si>
    <t>Nhắn tin tư vấn</t>
  </si>
  <si>
    <t>Kế hoạch – chưa đăng</t>
  </si>
  <si>
    <t>TT-01</t>
  </si>
  <si>
    <t>Ba dung tích – bạn hợp bình nào?</t>
  </si>
  <si>
    <t>Chọn dung tích</t>
  </si>
  <si>
    <t>Link ở bio</t>
  </si>
  <si>
    <t>Kịch bản có sẵn theo GĐ4; xác minh</t>
  </si>
  <si>
    <t>FP-02</t>
  </si>
  <si>
    <t>Hỏi người xem đang dùng bình bao nhiêu ml</t>
  </si>
  <si>
    <t>Bình luận dung tích</t>
  </si>
  <si>
    <t>TT-02</t>
  </si>
  <si>
    <t>Test bình thực tế</t>
  </si>
  <si>
    <t>Test sản phẩm</t>
  </si>
  <si>
    <t>Chỉ đăng sau khi tự đo</t>
  </si>
  <si>
    <t>FP-03</t>
  </si>
  <si>
    <t>Infographic so sánh 500/750/1000 ml và giá</t>
  </si>
  <si>
    <t>Consideration</t>
  </si>
  <si>
    <t>Nhắn tin nhận tư vấn</t>
  </si>
  <si>
    <t>Giá cần đối chiếu SKU</t>
  </si>
  <si>
    <t>TT-03</t>
  </si>
  <si>
    <t>Mẹo vệ sinh bình, giới thiệu cọ</t>
  </si>
  <si>
    <t>Hữu ích/bán kèm</t>
  </si>
  <si>
    <t>Xem combo ở bio</t>
  </si>
  <si>
    <t>Kịch bản có sẵn theo GĐ4</t>
  </si>
  <si>
    <t>FP-04</t>
  </si>
  <si>
    <t>Combo bình + túi + cọ, nêu mức tiết kiệm</t>
  </si>
  <si>
    <t>Xem combo tại Landing Page</t>
  </si>
  <si>
    <t>Chưa đăng; chốt giá combo</t>
  </si>
  <si>
    <t>TT-04</t>
  </si>
  <si>
    <t>Lifestyle: trong túi mình có gì?</t>
  </si>
  <si>
    <t>Lifestyle</t>
  </si>
  <si>
    <t>Cần viết kịch bản</t>
  </si>
  <si>
    <t>FP-05</t>
  </si>
  <si>
    <t>Hướng dẫn vệ sinh bình 3 bước</t>
  </si>
  <si>
    <t>Lưu bài</t>
  </si>
  <si>
    <t>TT-05</t>
  </si>
  <si>
    <t>So sánh trung thực với bình/ly phổ thông</t>
  </si>
  <si>
    <t>So sánh</t>
  </si>
  <si>
    <t>FP-06</t>
  </si>
  <si>
    <t>Ảnh thật các màu và tình trạng còn hàng</t>
  </si>
  <si>
    <t>Conversion</t>
  </si>
  <si>
    <t>Nhắn tin đặt hàng</t>
  </si>
  <si>
    <t>Chỉ đăng khi xác nhận tồn kho</t>
  </si>
  <si>
    <t>TT-06</t>
  </si>
  <si>
    <t>Mùa lạnh/quà tặng và combo</t>
  </si>
  <si>
    <t>Seasonal</t>
  </si>
  <si>
    <t>FP-07</t>
  </si>
  <si>
    <t>Chia sẻ video KOC khi được đồng ý</t>
  </si>
  <si>
    <t>Social proof</t>
  </si>
  <si>
    <t>Xem video TikTok</t>
  </si>
  <si>
    <t>Chỉ khi KOC đồng ý</t>
  </si>
  <si>
    <t>Rủi ro/tình huống</t>
  </si>
  <si>
    <t>KPI theo dõi</t>
  </si>
  <si>
    <t>Ngưỡng phát hiện</t>
  </si>
  <si>
    <t>Nguyên nhân giả định</t>
  </si>
  <si>
    <t>Quyết định Pivot</t>
  </si>
  <si>
    <t>Kết quả kỳ vọng</t>
  </si>
  <si>
    <t>CAC tăng do đối thủ cạnh tranh giá thầu</t>
  </si>
  <si>
    <t>Tăng ≥20% so với CAC nền GĐ3</t>
  </si>
  <si>
    <t>CPC tăng hoặc chuyển đổi Landing Page giảm</t>
  </si>
  <si>
    <t>Tạm dừng từ khóa CPC cao, phân bổ ngân sách sang long-tail; kiểm tra lại Landing Page và thông điệp</t>
  </si>
  <si>
    <t>Giảm CAC về gần ngưỡng nền; bảo toàn ngân sách</t>
  </si>
  <si>
    <t>Tình huống giả định theo đề, chưa phát sinh thực tế</t>
  </si>
  <si>
    <t>Impressions cao nhưng CTR thấp</t>
  </si>
  <si>
    <t>CTR, clicks</t>
  </si>
  <si>
    <t>CTR giảm liên tiếp 3 ngày so với mức nền</t>
  </si>
  <si>
    <t>Thông điệp chưa khớp ý định/từ khóa</t>
  </si>
  <si>
    <t>Thử RSA theo nhóm ý định; rà soát từ khóa phủ định và CTA</t>
  </si>
  <si>
    <t>Tăng chất lượng nhấp</t>
  </si>
  <si>
    <t>Cần theo dõi khi có dữ liệu thật</t>
  </si>
  <si>
    <t>Traffic tăng nhưng không có đơn</t>
  </si>
  <si>
    <t>CVR, CAC, đơn hàng</t>
  </si>
  <si>
    <t>Có sessions/clicks nhưng không ghi nhận đơn</t>
  </si>
  <si>
    <t>Landing Page, giá, CTA hoặc quy trình đặt hàng có vấn đề</t>
  </si>
  <si>
    <t>Kiểm tra tốc độ/mobile, giá và CTA; đo sự kiện chuyển đổi</t>
  </si>
  <si>
    <t>Cải thiện tỷ lệ chuyển đổi</t>
  </si>
  <si>
    <t>Cần dữ liệu GA4/đơn hàng</t>
  </si>
  <si>
    <t>KOC đăng nhưng không có link clicks</t>
  </si>
  <si>
    <t>Link clicks, sessions theo UTM</t>
  </si>
  <si>
    <t>Sau 48–72 giờ không có click đo được</t>
  </si>
  <si>
    <t>CTA/link/mã chưa rõ hoặc nội dung không phù hợp</t>
  </si>
  <si>
    <t>Tối ưu CTA, ghim link/mã, dùng nội dung tốt nhất để boost khi có quyền</t>
  </si>
  <si>
    <t>Tăng traffic có thể quy nguồn</t>
  </si>
  <si>
    <t>Kế hoạch quản trị</t>
  </si>
  <si>
    <t>Social Sessions</t>
  </si>
  <si>
    <t>Organic Impressions</t>
  </si>
  <si>
    <t>Social Reach</t>
  </si>
  <si>
    <t>Social Impressions</t>
  </si>
  <si>
    <t>Ghi chú nguồn/trạng thái</t>
  </si>
  <si>
    <t>SOVA – Search – Bình giữ nhiệt</t>
  </si>
  <si>
    <t>Preview/kế hoạch – RSA A và RSA B</t>
  </si>
  <si>
    <t>bình giữ nhiệt giá rẻ; giá bình giữ nhiệt; mua bình giữ nhiệt</t>
  </si>
  <si>
    <t>Preview/kế hoạch; chưa nhập số liệu hiệu suất thực tế. Cập nhật từ báo cáo nền tảng khi có.</t>
  </si>
  <si>
    <t>CẤU HÌNH SEM – TV2 PHƯƠNG THÚY</t>
  </si>
  <si>
    <t>Giá trị / trạng thái</t>
  </si>
  <si>
    <t>Thành viên phụ trách</t>
  </si>
  <si>
    <t>Theo phân công Giai đoạn 5</t>
  </si>
  <si>
    <t>Chiến dịch đề xuất</t>
  </si>
  <si>
    <t>Chiến dịch Google Search Ads</t>
  </si>
  <si>
    <t>Loại chiến dịch</t>
  </si>
  <si>
    <t>Tìm kiếm (Search)</t>
  </si>
  <si>
    <t>Phù hợp truy vấn có ý định mua</t>
  </si>
  <si>
    <t>Mục tiêu</t>
  </si>
  <si>
    <t>Lưu lượng truy cập; chỉ chọn Doanh số nếu đã thiết lập theo dõi chuyển đổi</t>
  </si>
  <si>
    <t>Không tuyên bố có chuyển đổi nếu chưa xác minh tracking</t>
  </si>
  <si>
    <t>URL Landing Page</t>
  </si>
  <si>
    <t>https://sova.liveblog365.com</t>
  </si>
  <si>
    <t>URL đã được dùng trong tài liệu dự án; TV3 – Anh Khoa cần xác nhận URL chính thức/hoạt động</t>
  </si>
  <si>
    <t>Vị trí</t>
  </si>
  <si>
    <t>Việt Nam (đề xuất)</t>
  </si>
  <si>
    <t>Ảnh hiện trạng trước đó có thể chọn phạm vi khác; cần kiểm tra lại giao diện</t>
  </si>
  <si>
    <t>Ngôn ngữ</t>
  </si>
  <si>
    <t>Tiếng Việt (đề xuất)</t>
  </si>
  <si>
    <t>Khớp nội dung quảng cáo</t>
  </si>
  <si>
    <t>Chiến lược giá thầu</t>
  </si>
  <si>
    <t>Tối đa hóa lượt nhấp (Maximize Clicks) – phương án mô phỏng</t>
  </si>
  <si>
    <t>Phù hợp khi mục tiêu là traffic; cần xem lại khi có tracking chuyển đổi</t>
  </si>
  <si>
    <t>CPC tối đa tham khảo</t>
  </si>
  <si>
    <t>Không đặt vượt quá khoảng 11.000đ/nhấp nếu không có căn cứ</t>
  </si>
  <si>
    <t>Dải giá thầu cao đầu trang trong nhóm từ khóa dao động; không phải CPC thực tế</t>
  </si>
  <si>
    <t>Ngân sách Google Ads/tháng theo GĐ3</t>
  </si>
  <si>
    <t>CHƯA CÓ DỮ LIỆU trong sheet GD3_Dau_vao</t>
  </si>
  <si>
    <t>Không được tự suy ra là 15.000.000đ/tháng</t>
  </si>
  <si>
    <t>Ngân sách trung bình/ngày</t>
  </si>
  <si>
    <t>CHƯA XÁC NHẬN</t>
  </si>
  <si>
    <t>500.000đ/ngày chỉ được dùng trong một số ảnh mô phỏng; cần nhóm xác nhận ngân sách tháng ở GĐ3 trước khi xem là chính thức</t>
  </si>
  <si>
    <t>Trạng thái chiến dịch</t>
  </si>
  <si>
    <t>Preview/kế hoạch; chưa xác nhận đã xuất bản hoặc chạy</t>
  </si>
  <si>
    <t>Không nạp tiền/không bật chiến dịch thật chỉ để hoàn thành tiểu luận</t>
  </si>
  <si>
    <t>Chi phí thực tế</t>
  </si>
  <si>
    <t>Chưa có dữ liệu</t>
  </si>
  <si>
    <t>Để trống ở Nhap_SEM</t>
  </si>
  <si>
    <t>RSA A</t>
  </si>
  <si>
    <t>Nhấn mạnh giá + USP có căn cứ + CTA</t>
  </si>
  <si>
    <t>Giá catalog: 500ml 199.000đ; 750ml 229.000đ; 1000ml 269.000đ; cần đối chiếu landing page</t>
  </si>
  <si>
    <t>RSA B</t>
  </si>
  <si>
    <t>Nhấn mạnh Freeship &amp; Bảo hành – chỉ sau xác minh</t>
  </si>
  <si>
    <t>Catalog hiện có không xác nhận miễn phí vận chuyển hoặc thời hạn bảo hành</t>
  </si>
  <si>
    <t>Dữ liệu nguồn</t>
  </si>
  <si>
    <t>Transactional_Keywords trong workbook Buoc 456 pthuy(1).xlsx</t>
  </si>
  <si>
    <t>27 từ khóa; phân loại 10 dùng được / 6 giữ lại / 11 tạm hoãn theo bản rà soát</t>
  </si>
  <si>
    <t>Ghi chú bàn giao</t>
  </si>
  <si>
    <t>Bàn giao cho TV1 – Phương Kiều</t>
  </si>
  <si>
    <t>Chỉ bàn giao dữ liệu thực tế khi có nguồn; hiện tại bàn giao kế hoạch/preview và trạng thái thiếu dữ liệu</t>
  </si>
  <si>
    <t>KỊCH BẢN PHÂN TÍCH KPI SEM – SOVA</t>
  </si>
  <si>
    <t>Lưu ý</t>
  </si>
  <si>
    <t>Các giá trị dưới đây là kịch bản tính toán minh họa; thay bằng báo cáo Google Ads/analytics đã xác minh khi có dữ liệu.</t>
  </si>
  <si>
    <t>RSA A – Nhấn giá</t>
  </si>
  <si>
    <t>RSA B – Nhấn dịch vụ</t>
  </si>
  <si>
    <t>Đơn vị/ghi chú</t>
  </si>
  <si>
    <t>Nguồn nền tảng</t>
  </si>
  <si>
    <t>lượt hiển thị – giả định</t>
  </si>
  <si>
    <t>lượt nhấp – giả định</t>
  </si>
  <si>
    <t>Clicks / Impressions</t>
  </si>
  <si>
    <t>tỷ lệ</t>
  </si>
  <si>
    <t>Chi phí</t>
  </si>
  <si>
    <t>VND – giả định</t>
  </si>
  <si>
    <t>CPC trung bình</t>
  </si>
  <si>
    <t>Chi phí / Clicks</t>
  </si>
  <si>
    <t>VND/nhấp</t>
  </si>
  <si>
    <t>Conversions</t>
  </si>
  <si>
    <t>Google Ads/analytics</t>
  </si>
  <si>
    <t>chuyển đổi – giả định</t>
  </si>
  <si>
    <t>CVR</t>
  </si>
  <si>
    <t>Conversions / Clicks</t>
  </si>
  <si>
    <t>CPA</t>
  </si>
  <si>
    <t>Chi phí / Conversions</t>
  </si>
  <si>
    <t>VND/chuyển đổi</t>
  </si>
  <si>
    <t>Giá trị đơn hàng TB</t>
  </si>
  <si>
    <t>Giá trị AOV minh họa</t>
  </si>
  <si>
    <t>Conversions × AOV</t>
  </si>
  <si>
    <t>Doanh thu / Chi phí</t>
  </si>
  <si>
    <t>Ngân sách ngày tham khảo</t>
  </si>
  <si>
    <t>Ngân sách minh họa</t>
  </si>
  <si>
    <t>VND/ngày; cần đối chiếu ngân sách được duyệt</t>
  </si>
  <si>
    <t>Ngân sách 30 ngày</t>
  </si>
  <si>
    <t>Ngân sách ngày × 30</t>
  </si>
  <si>
    <t>TỪ ĐIỂN DỮ LIỆU SEM</t>
  </si>
  <si>
    <t>Trường</t>
  </si>
  <si>
    <t>Định nghĩa/công thức</t>
  </si>
  <si>
    <t>Nguồn và quy tắc</t>
  </si>
  <si>
    <t>Số lần quảng cáo được hiển thị</t>
  </si>
  <si>
    <t>Google Ads; không điền từ Preview</t>
  </si>
  <si>
    <t>Số lượt nhấp quảng cáo</t>
  </si>
  <si>
    <t>Tính từ số liệu cùng phạm vi ngày</t>
  </si>
  <si>
    <t>Tổng chi phí quảng cáo trong phạm vi báo cáo</t>
  </si>
  <si>
    <t>Google Ads; VND</t>
  </si>
  <si>
    <t>Nếu Clicks=0 thì để trống/NA</t>
  </si>
  <si>
    <t>Số chuyển đổi được ghi nhận</t>
  </si>
  <si>
    <t>Chỉ dùng khi conversion action/tracking đã xác minh</t>
  </si>
  <si>
    <t>Cùng attribution window và cùng phạm vi</t>
  </si>
  <si>
    <t>Nếu conversions=0 thì không chia cho 0</t>
  </si>
  <si>
    <t>Giá trị chuyển đổi mua hàng được ghi nhận</t>
  </si>
  <si>
    <t>Không suy ra từ clicks; kiểm tra trùng attribution</t>
  </si>
  <si>
    <t>Chỉ tính khi có doanh thu và chi phí cùng phạm vi</t>
  </si>
  <si>
    <t>Ngày tải dữ liệu</t>
  </si>
  <si>
    <t>Ngày xuất báo cáo từ nền tảng</t>
  </si>
  <si>
    <t>Ghi lại để có thể truy xuất/đối chiếu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</si>
</sst>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0.0"/>
    <numFmt numFmtId="166" formatCode="yyyy\-mm\-dd\ h:mm:ss"/>
  </numFmts>
  <fonts count="20" x14ac:knownFonts="1">
    <font>
      <sz val="11"/>
      <color theme="1"/>
      <name val="Calibri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b/>
      <sz val="11"/>
      <color rgb="FF1F3864"/>
      <name val="Arial"/>
      <family val="2"/>
    </font>
    <font>
      <b/>
      <sz val="11"/>
      <color indexed="18"/>
      <name val="Arial"/>
      <family val="2"/>
    </font>
    <font>
      <sz val="11"/>
      <name val="Arial"/>
      <family val="2"/>
    </font>
    <font>
      <b/>
      <sz val="11"/>
      <color indexed="52"/>
      <name val="Arial"/>
      <family val="2"/>
    </font>
    <font>
      <b/>
      <sz val="10"/>
      <color rgb="FFFFFFFF"/>
      <name val="Aptos"/>
      <family val="2"/>
    </font>
    <font>
      <b/>
      <sz val="16"/>
      <color rgb="FFFFFFFF"/>
      <name val="Aptos Display"/>
      <family val="2"/>
    </font>
    <font>
      <i/>
      <sz val="11"/>
      <color rgb="FF9C0006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indexed="55"/>
      <name val="Arial"/>
      <family val="2"/>
    </font>
    <font>
      <sz val="11"/>
      <color indexed="11"/>
      <name val="Arial"/>
      <family val="2"/>
    </font>
    <font>
      <sz val="11"/>
      <color indexed="31"/>
      <name val="Arial"/>
      <family val="2"/>
    </font>
    <font>
      <b/>
      <sz val="14"/>
      <color indexed="18"/>
      <name val="Arial"/>
      <family val="2"/>
    </font>
    <font>
      <i/>
      <sz val="10"/>
      <color indexed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7365D"/>
      </patternFill>
    </fill>
    <fill>
      <patternFill patternType="solid">
        <fgColor rgb="FFF6F9FB"/>
      </patternFill>
    </fill>
    <fill>
      <patternFill patternType="solid">
        <fgColor rgb="FF0F6B78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6B5B"/>
        <bgColor indexed="64"/>
      </patternFill>
    </fill>
    <fill>
      <patternFill patternType="solid">
        <fgColor rgb="FFF3F8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1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3" fontId="2" fillId="0" borderId="1" xfId="0" applyNumberFormat="1" applyFont="1" applyBorder="1"/>
    <xf numFmtId="3" fontId="4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165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8" fillId="0" borderId="0" xfId="0" applyNumberFormat="1" applyFont="1" applyAlignment="1">
      <alignment wrapText="1"/>
    </xf>
    <xf numFmtId="0" fontId="8" fillId="0" borderId="0" xfId="0" applyFont="1"/>
    <xf numFmtId="0" fontId="13" fillId="7" borderId="0" xfId="0" applyFont="1" applyFill="1"/>
    <xf numFmtId="0" fontId="0" fillId="0" borderId="0" xfId="0" applyAlignment="1">
      <alignment vertical="top" wrapText="1"/>
    </xf>
    <xf numFmtId="0" fontId="13" fillId="7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4" fontId="0" fillId="6" borderId="0" xfId="0" applyNumberFormat="1" applyFill="1" applyAlignment="1">
      <alignment vertical="top" wrapText="1"/>
    </xf>
    <xf numFmtId="4" fontId="0" fillId="0" borderId="0" xfId="0" applyNumberFormat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3" fontId="4" fillId="6" borderId="1" xfId="0" applyNumberFormat="1" applyFont="1" applyFill="1" applyBorder="1" applyAlignment="1">
      <alignment vertical="top" wrapText="1"/>
    </xf>
    <xf numFmtId="3" fontId="2" fillId="6" borderId="1" xfId="0" applyNumberFormat="1" applyFont="1" applyFill="1" applyBorder="1" applyAlignment="1">
      <alignment vertical="top" wrapText="1"/>
    </xf>
    <xf numFmtId="9" fontId="4" fillId="6" borderId="1" xfId="0" applyNumberFormat="1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4" fillId="6" borderId="1" xfId="0" applyNumberFormat="1" applyFont="1" applyFill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10" fontId="2" fillId="6" borderId="1" xfId="0" applyNumberFormat="1" applyFont="1" applyFill="1" applyBorder="1" applyAlignment="1">
      <alignment vertical="top" wrapText="1"/>
    </xf>
    <xf numFmtId="2" fontId="2" fillId="6" borderId="1" xfId="0" applyNumberFormat="1" applyFont="1" applyFill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3" fontId="3" fillId="6" borderId="1" xfId="0" applyNumberFormat="1" applyFont="1" applyFill="1" applyBorder="1" applyAlignment="1">
      <alignment vertical="top" wrapText="1"/>
    </xf>
    <xf numFmtId="10" fontId="3" fillId="6" borderId="1" xfId="0" applyNumberFormat="1" applyFont="1" applyFill="1" applyBorder="1" applyAlignment="1">
      <alignment vertical="top" wrapText="1"/>
    </xf>
    <xf numFmtId="2" fontId="3" fillId="6" borderId="1" xfId="0" applyNumberFormat="1" applyFont="1" applyFill="1" applyBorder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14" fontId="8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3" fontId="8" fillId="0" borderId="0" xfId="0" applyNumberFormat="1" applyFont="1" applyAlignment="1">
      <alignment vertical="top" wrapText="1"/>
    </xf>
    <xf numFmtId="14" fontId="8" fillId="6" borderId="0" xfId="0" applyNumberFormat="1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3" fontId="8" fillId="6" borderId="0" xfId="0" applyNumberFormat="1" applyFont="1" applyFill="1" applyAlignment="1">
      <alignment vertical="top" wrapText="1"/>
    </xf>
    <xf numFmtId="166" fontId="0" fillId="6" borderId="0" xfId="0" applyNumberFormat="1" applyFill="1" applyAlignment="1">
      <alignment vertical="top" wrapText="1"/>
    </xf>
    <xf numFmtId="166" fontId="0" fillId="0" borderId="0" xfId="0" applyNumberFormat="1" applyAlignment="1">
      <alignment vertical="top" wrapText="1"/>
    </xf>
    <xf numFmtId="0" fontId="14" fillId="5" borderId="0" xfId="0" applyFont="1" applyFill="1"/>
    <xf numFmtId="0" fontId="0" fillId="0" borderId="0" xfId="0"/>
    <xf numFmtId="0" fontId="11" fillId="5" borderId="0" xfId="0" applyFont="1" applyFill="1" applyAlignment="1">
      <alignment vertical="center"/>
    </xf>
    <xf numFmtId="0" fontId="12" fillId="6" borderId="0" xfId="0" applyFont="1" applyFill="1" applyAlignment="1">
      <alignment wrapText="1"/>
    </xf>
    <xf numFmtId="0" fontId="10" fillId="5" borderId="0" xfId="0" applyFont="1" applyFill="1" applyAlignment="1">
      <alignment vertical="top" wrapText="1"/>
    </xf>
    <xf numFmtId="0" fontId="8" fillId="0" borderId="0" xfId="0" applyFont="1"/>
    <xf numFmtId="0" fontId="9" fillId="4" borderId="0" xfId="0" applyFont="1" applyFill="1" applyAlignment="1">
      <alignment vertical="center" wrapText="1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/>
    <xf numFmtId="0" fontId="7" fillId="8" borderId="1" xfId="0" applyNumberFormat="1" applyFont="1" applyFill="1" applyBorder="1" applyAlignment="1" applyProtection="1">
      <alignment horizontal="center" vertical="center" wrapText="1"/>
    </xf>
    <xf numFmtId="14" fontId="16" fillId="9" borderId="1" xfId="0" applyNumberFormat="1" applyFont="1" applyFill="1" applyBorder="1" applyAlignment="1" applyProtection="1">
      <alignment vertical="top" wrapText="1"/>
    </xf>
    <xf numFmtId="0" fontId="16" fillId="9" borderId="1" xfId="0" applyNumberFormat="1" applyFont="1" applyFill="1" applyBorder="1" applyAlignment="1" applyProtection="1">
      <alignment vertical="top" wrapText="1"/>
    </xf>
    <xf numFmtId="3" fontId="16" fillId="9" borderId="1" xfId="0" applyNumberFormat="1" applyFont="1" applyFill="1" applyBorder="1" applyAlignment="1" applyProtection="1">
      <alignment vertical="top" wrapText="1"/>
    </xf>
    <xf numFmtId="14" fontId="17" fillId="0" borderId="1" xfId="0" applyNumberFormat="1" applyFont="1" applyFill="1" applyBorder="1" applyAlignment="1" applyProtection="1"/>
    <xf numFmtId="0" fontId="17" fillId="0" borderId="1" xfId="0" applyNumberFormat="1" applyFont="1" applyFill="1" applyBorder="1" applyAlignment="1" applyProtection="1"/>
    <xf numFmtId="3" fontId="17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top" wrapText="1"/>
    </xf>
    <xf numFmtId="0" fontId="7" fillId="10" borderId="0" xfId="0" applyNumberFormat="1" applyFont="1" applyFill="1" applyBorder="1" applyAlignment="1" applyProtection="1">
      <alignment vertical="center" wrapText="1"/>
    </xf>
    <xf numFmtId="0" fontId="8" fillId="11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vertical="top" wrapText="1"/>
    </xf>
    <xf numFmtId="0" fontId="18" fillId="3" borderId="0" xfId="0" applyNumberFormat="1" applyFont="1" applyFill="1" applyBorder="1" applyAlignment="1" applyProtection="1"/>
    <xf numFmtId="0" fontId="19" fillId="9" borderId="0" xfId="0" applyNumberFormat="1" applyFont="1" applyFill="1" applyBorder="1" applyAlignment="1" applyProtection="1">
      <alignment vertical="center" wrapText="1"/>
    </xf>
    <xf numFmtId="0" fontId="19" fillId="9" borderId="0" xfId="0" applyNumberFormat="1" applyFont="1" applyFill="1" applyBorder="1" applyAlignment="1" applyProtection="1">
      <alignment vertical="center" wrapText="1"/>
    </xf>
    <xf numFmtId="0" fontId="7" fillId="12" borderId="0" xfId="0" applyNumberFormat="1" applyFont="1" applyFill="1" applyBorder="1" applyAlignment="1" applyProtection="1"/>
    <xf numFmtId="0" fontId="2" fillId="13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164" fontId="2" fillId="13" borderId="0" xfId="0" applyNumberFormat="1" applyFont="1" applyFill="1" applyBorder="1" applyAlignment="1" applyProtection="1">
      <alignment vertical="center" wrapText="1"/>
    </xf>
    <xf numFmtId="4" fontId="2" fillId="13" borderId="0" xfId="0" applyNumberFormat="1" applyFont="1" applyFill="1" applyBorder="1" applyAlignment="1" applyProtection="1">
      <alignment vertical="center" wrapText="1"/>
    </xf>
    <xf numFmtId="4" fontId="2" fillId="0" borderId="0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Sessions theo ngày – dữ liệu mô phỏng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Traffic_Ngay!$B$1</c:f>
              <c:strCache>
                <c:ptCount val="1"/>
                <c:pt idx="0">
                  <c:v>Organic Sessions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Traffic_Ngay!$A$2:$A$15</c:f>
              <c:numCache>
                <c:formatCode>yyyy\-mm\-dd\ h:mm:ss</c:formatCode>
                <c:ptCount val="14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</c:numCache>
            </c:numRef>
          </c:cat>
          <c:val>
            <c:numRef>
              <c:f>Traffic_Ngay!$B$2:$B$15</c:f>
              <c:numCache>
                <c:formatCode>General</c:formatCode>
                <c:ptCount val="14"/>
                <c:pt idx="0">
                  <c:v>42</c:v>
                </c:pt>
                <c:pt idx="1">
                  <c:v>48</c:v>
                </c:pt>
                <c:pt idx="2">
                  <c:v>45</c:v>
                </c:pt>
                <c:pt idx="3">
                  <c:v>53</c:v>
                </c:pt>
                <c:pt idx="4">
                  <c:v>57</c:v>
                </c:pt>
                <c:pt idx="5">
                  <c:v>51</c:v>
                </c:pt>
                <c:pt idx="6">
                  <c:v>60</c:v>
                </c:pt>
                <c:pt idx="7">
                  <c:v>62</c:v>
                </c:pt>
                <c:pt idx="8">
                  <c:v>58</c:v>
                </c:pt>
                <c:pt idx="9">
                  <c:v>65</c:v>
                </c:pt>
                <c:pt idx="10">
                  <c:v>68</c:v>
                </c:pt>
                <c:pt idx="11">
                  <c:v>64</c:v>
                </c:pt>
                <c:pt idx="12">
                  <c:v>71</c:v>
                </c:pt>
                <c:pt idx="1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AC-466D-A059-EC74958EA374}"/>
            </c:ext>
          </c:extLst>
        </c:ser>
        <c:ser>
          <c:idx val="1"/>
          <c:order val="1"/>
          <c:tx>
            <c:strRef>
              <c:f>Traffic_Ngay!$C$1</c:f>
              <c:strCache>
                <c:ptCount val="1"/>
                <c:pt idx="0">
                  <c:v>Paid Sessions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Traffic_Ngay!$A$2:$A$15</c:f>
              <c:numCache>
                <c:formatCode>yyyy\-mm\-dd\ h:mm:ss</c:formatCode>
                <c:ptCount val="14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</c:numCache>
            </c:numRef>
          </c:cat>
          <c:val>
            <c:numRef>
              <c:f>Traffic_Ngay!$C$2:$C$15</c:f>
              <c:numCache>
                <c:formatCode>General</c:formatCode>
                <c:ptCount val="14"/>
                <c:pt idx="0">
                  <c:v>31</c:v>
                </c:pt>
                <c:pt idx="1">
                  <c:v>35</c:v>
                </c:pt>
                <c:pt idx="2">
                  <c:v>33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44</c:v>
                </c:pt>
                <c:pt idx="7">
                  <c:v>46</c:v>
                </c:pt>
                <c:pt idx="8">
                  <c:v>43</c:v>
                </c:pt>
                <c:pt idx="9">
                  <c:v>48</c:v>
                </c:pt>
                <c:pt idx="10">
                  <c:v>50</c:v>
                </c:pt>
                <c:pt idx="11">
                  <c:v>47</c:v>
                </c:pt>
                <c:pt idx="12">
                  <c:v>53</c:v>
                </c:pt>
                <c:pt idx="1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AC-466D-A059-EC74958EA374}"/>
            </c:ext>
          </c:extLst>
        </c:ser>
        <c:ser>
          <c:idx val="2"/>
          <c:order val="2"/>
          <c:tx>
            <c:strRef>
              <c:f>Traffic_Ngay!$D$1</c:f>
              <c:strCache>
                <c:ptCount val="1"/>
                <c:pt idx="0">
                  <c:v>Social Sessions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Traffic_Ngay!$A$2:$A$15</c:f>
              <c:numCache>
                <c:formatCode>yyyy\-mm\-dd\ h:mm:ss</c:formatCode>
                <c:ptCount val="14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</c:numCache>
            </c:numRef>
          </c:cat>
          <c:val>
            <c:numRef>
              <c:f>Traffic_Ngay!$D$2:$D$15</c:f>
              <c:numCache>
                <c:formatCode>General</c:formatCode>
                <c:ptCount val="14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18</c:v>
                </c:pt>
                <c:pt idx="5">
                  <c:v>15</c:v>
                </c:pt>
                <c:pt idx="6">
                  <c:v>19</c:v>
                </c:pt>
                <c:pt idx="7">
                  <c:v>20</c:v>
                </c:pt>
                <c:pt idx="8">
                  <c:v>18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AC-466D-A059-EC74958EA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Ngày</a:t>
                </a:r>
              </a:p>
            </c:rich>
          </c:tx>
          <c:overlay val="1"/>
        </c:title>
        <c:numFmt formatCode="yyyy\-mm\-dd\ 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Tỷ trọng Search Intent theo từ khóa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Nhap_Intent!$D$1</c:f>
              <c:strCache>
                <c:ptCount val="1"/>
                <c:pt idx="0">
                  <c:v>Ty_le_theo_keyword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Nhap_Intent!$A$2:$A$5</c:f>
              <c:strCache>
                <c:ptCount val="4"/>
                <c:pt idx="0">
                  <c:v>Commercial</c:v>
                </c:pt>
                <c:pt idx="1">
                  <c:v>Informational</c:v>
                </c:pt>
                <c:pt idx="2">
                  <c:v>Navigational</c:v>
                </c:pt>
                <c:pt idx="3">
                  <c:v>Transactional</c:v>
                </c:pt>
              </c:strCache>
            </c:strRef>
          </c:cat>
          <c:val>
            <c:numRef>
              <c:f>Nhap_Intent!$D$2:$D$5</c:f>
              <c:numCache>
                <c:formatCode>0.0%</c:formatCode>
                <c:ptCount val="4"/>
                <c:pt idx="0">
                  <c:v>0.63600000000000001</c:v>
                </c:pt>
                <c:pt idx="1">
                  <c:v>4.2000000000000003E-2</c:v>
                </c:pt>
                <c:pt idx="2">
                  <c:v>0.26800000000000002</c:v>
                </c:pt>
                <c:pt idx="3">
                  <c:v>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A-42CA-8011-1979D59E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Tỷ lệ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22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110" customWidth="1"/>
  </cols>
  <sheetData>
    <row r="1" spans="1:2" ht="18" x14ac:dyDescent="0.35">
      <c r="A1" s="51" t="s">
        <v>10</v>
      </c>
      <c r="B1" s="52"/>
    </row>
    <row r="2" spans="1:2" x14ac:dyDescent="0.3">
      <c r="A2" s="13" t="s">
        <v>11</v>
      </c>
      <c r="B2" s="13" t="s">
        <v>12</v>
      </c>
    </row>
    <row r="3" spans="1:2" ht="28.8" x14ac:dyDescent="0.3">
      <c r="A3" s="14" t="s">
        <v>13</v>
      </c>
      <c r="B3" s="14" t="s">
        <v>14</v>
      </c>
    </row>
    <row r="4" spans="1:2" ht="28.8" x14ac:dyDescent="0.3">
      <c r="A4" s="14" t="s">
        <v>15</v>
      </c>
      <c r="B4" s="14" t="s">
        <v>16</v>
      </c>
    </row>
    <row r="5" spans="1:2" x14ac:dyDescent="0.3">
      <c r="A5" s="14" t="s">
        <v>17</v>
      </c>
      <c r="B5" s="14" t="s">
        <v>18</v>
      </c>
    </row>
    <row r="6" spans="1:2" ht="28.8" x14ac:dyDescent="0.3">
      <c r="A6" s="14" t="s">
        <v>19</v>
      </c>
      <c r="B6" s="14" t="s">
        <v>20</v>
      </c>
    </row>
    <row r="7" spans="1:2" x14ac:dyDescent="0.3">
      <c r="A7" s="14" t="s">
        <v>21</v>
      </c>
      <c r="B7" s="14" t="s">
        <v>22</v>
      </c>
    </row>
    <row r="8" spans="1:2" ht="28.8" x14ac:dyDescent="0.3">
      <c r="A8" s="14" t="s">
        <v>23</v>
      </c>
      <c r="B8" s="14" t="s">
        <v>24</v>
      </c>
    </row>
    <row r="9" spans="1:2" ht="28.8" x14ac:dyDescent="0.3">
      <c r="A9" s="14" t="s">
        <v>25</v>
      </c>
      <c r="B9" s="14" t="s">
        <v>26</v>
      </c>
    </row>
    <row r="10" spans="1:2" x14ac:dyDescent="0.3">
      <c r="A10" s="14" t="s">
        <v>27</v>
      </c>
      <c r="B10" s="14" t="s">
        <v>28</v>
      </c>
    </row>
    <row r="11" spans="1:2" ht="28.8" x14ac:dyDescent="0.3">
      <c r="A11" s="14" t="s">
        <v>29</v>
      </c>
      <c r="B11" s="14" t="s">
        <v>30</v>
      </c>
    </row>
    <row r="12" spans="1:2" x14ac:dyDescent="0.3">
      <c r="A12" s="14" t="s">
        <v>31</v>
      </c>
      <c r="B12" s="14" t="s">
        <v>32</v>
      </c>
    </row>
    <row r="13" spans="1:2" ht="28.8" x14ac:dyDescent="0.3">
      <c r="A13" s="14" t="s">
        <v>33</v>
      </c>
      <c r="B13" s="14" t="s">
        <v>34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>
      <pane ySplit="1" topLeftCell="A2" activePane="bottomLeft" state="frozen"/>
      <selection pane="bottomLeft" sqref="A1:C1"/>
    </sheetView>
  </sheetViews>
  <sheetFormatPr defaultRowHeight="14.4" x14ac:dyDescent="0.3"/>
  <cols>
    <col min="1" max="1" width="38" customWidth="1"/>
    <col min="2" max="2" width="22" customWidth="1"/>
    <col min="3" max="3" width="55" customWidth="1"/>
    <col min="4" max="4" width="12" customWidth="1"/>
    <col min="5" max="5" width="26" customWidth="1"/>
  </cols>
  <sheetData>
    <row r="1" spans="1:5" ht="31.95" customHeight="1" x14ac:dyDescent="0.3">
      <c r="A1" s="53" t="s">
        <v>35</v>
      </c>
      <c r="B1" s="52"/>
      <c r="C1" s="52"/>
    </row>
    <row r="2" spans="1:5" x14ac:dyDescent="0.3">
      <c r="A2" s="54" t="s">
        <v>36</v>
      </c>
      <c r="B2" s="52"/>
      <c r="C2" s="52"/>
    </row>
    <row r="3" spans="1:5" x14ac:dyDescent="0.3">
      <c r="A3" s="13"/>
      <c r="B3" s="13"/>
      <c r="C3" s="13"/>
      <c r="D3" s="13"/>
      <c r="E3" s="15" t="s">
        <v>37</v>
      </c>
    </row>
    <row r="4" spans="1:5" x14ac:dyDescent="0.3">
      <c r="A4" s="16" t="s">
        <v>38</v>
      </c>
      <c r="B4" s="17">
        <f>SUMIFS(Nhap_Traffic!D2:D1000,Nhap_Traffic!C2:C1000,"Organic")</f>
        <v>819</v>
      </c>
      <c r="C4" s="16" t="s">
        <v>39</v>
      </c>
      <c r="E4" s="16" t="s">
        <v>40</v>
      </c>
    </row>
    <row r="5" spans="1:5" ht="28.8" x14ac:dyDescent="0.3">
      <c r="A5" s="14" t="s">
        <v>41</v>
      </c>
      <c r="B5" s="18">
        <f>SUMIFS(Nhap_Traffic!D2:D1000,Nhap_Traffic!C2:C1000,"Paid")</f>
        <v>603</v>
      </c>
      <c r="C5" s="14" t="s">
        <v>42</v>
      </c>
      <c r="E5" s="14" t="s">
        <v>43</v>
      </c>
    </row>
    <row r="6" spans="1:5" ht="28.8" x14ac:dyDescent="0.3">
      <c r="A6" s="16" t="s">
        <v>44</v>
      </c>
      <c r="B6" s="17">
        <f>SUMIFS(Nhap_Traffic!D2:D1000,Nhap_Traffic!C2:C1000,"Social Organic")</f>
        <v>262</v>
      </c>
      <c r="C6" s="16" t="s">
        <v>45</v>
      </c>
      <c r="E6" s="16" t="s">
        <v>46</v>
      </c>
    </row>
    <row r="7" spans="1:5" x14ac:dyDescent="0.3">
      <c r="A7" s="14" t="s">
        <v>47</v>
      </c>
      <c r="B7" s="18">
        <f>SUM(B4:B6)</f>
        <v>1684</v>
      </c>
      <c r="C7" s="14" t="s">
        <v>48</v>
      </c>
    </row>
    <row r="8" spans="1:5" x14ac:dyDescent="0.3">
      <c r="A8" s="16" t="s">
        <v>49</v>
      </c>
      <c r="B8" s="17">
        <f>SUMIFS(Traffic_Mo_phong!I2:I1000,Traffic_Mo_phong!B2:B1000,"Paid")</f>
        <v>2382000</v>
      </c>
      <c r="C8" s="16" t="s">
        <v>50</v>
      </c>
    </row>
    <row r="9" spans="1:5" x14ac:dyDescent="0.3">
      <c r="A9" s="14" t="s">
        <v>51</v>
      </c>
      <c r="B9" s="18">
        <f>SUMIFS(Traffic_Mo_phong!G2:G1000,Traffic_Mo_phong!B2:B1000,"Paid")</f>
        <v>27740</v>
      </c>
      <c r="C9" s="14" t="s">
        <v>52</v>
      </c>
    </row>
    <row r="10" spans="1:5" x14ac:dyDescent="0.3">
      <c r="A10" s="16" t="s">
        <v>53</v>
      </c>
      <c r="B10" s="17">
        <f>IF(B9=0,"",B8/B9*1000)</f>
        <v>85868.781542898345</v>
      </c>
      <c r="C10" s="16" t="s">
        <v>54</v>
      </c>
    </row>
    <row r="11" spans="1:5" x14ac:dyDescent="0.3">
      <c r="A11" s="14" t="s">
        <v>55</v>
      </c>
      <c r="B11" s="18">
        <f>Nhap_Intent!D2</f>
        <v>0.63600000000000001</v>
      </c>
      <c r="C11" s="14" t="s">
        <v>56</v>
      </c>
    </row>
    <row r="12" spans="1:5" x14ac:dyDescent="0.3">
      <c r="A12" s="16" t="s">
        <v>57</v>
      </c>
      <c r="B12" s="17">
        <f>Nhap_Intent!D3</f>
        <v>4.2000000000000003E-2</v>
      </c>
      <c r="C12" s="16" t="s">
        <v>56</v>
      </c>
    </row>
    <row r="13" spans="1:5" x14ac:dyDescent="0.3">
      <c r="A13" s="14" t="s">
        <v>58</v>
      </c>
      <c r="B13" s="18">
        <f>Nhap_Intent!D4</f>
        <v>0.26800000000000002</v>
      </c>
      <c r="C13" s="14" t="s">
        <v>56</v>
      </c>
    </row>
    <row r="14" spans="1:5" x14ac:dyDescent="0.3">
      <c r="A14" s="16" t="s">
        <v>59</v>
      </c>
      <c r="B14" s="17">
        <f>Nhap_Intent!D5</f>
        <v>5.3999999999999999E-2</v>
      </c>
      <c r="C14" s="16" t="s">
        <v>56</v>
      </c>
    </row>
    <row r="15" spans="1:5" ht="28.8" x14ac:dyDescent="0.3">
      <c r="A15" s="14" t="s">
        <v>60</v>
      </c>
      <c r="B15" s="18" t="e">
        <f>IF(SUM(Tong_hop_kenh!G2:G5)=0,"",SUM(Tong_hop_kenh!G2:G5))</f>
        <v>#REF!</v>
      </c>
      <c r="C15" s="14" t="s">
        <v>61</v>
      </c>
    </row>
    <row r="16" spans="1:5" x14ac:dyDescent="0.3">
      <c r="A16" s="16" t="s">
        <v>62</v>
      </c>
      <c r="B16" s="17" t="e">
        <f>IF(SUM(Tong_hop_kenh!F2:F5)=0,"",SUM(Tong_hop_kenh!B2:B5)/SUM(Tong_hop_kenh!F2:F5))</f>
        <v>#REF!</v>
      </c>
      <c r="C16" s="16" t="s">
        <v>63</v>
      </c>
    </row>
    <row r="17" spans="1:3" x14ac:dyDescent="0.3">
      <c r="A17" s="14" t="s">
        <v>64</v>
      </c>
      <c r="B17" s="18" t="e">
        <f>IF(OR(SUM(Tong_hop_kenh!B2:B5)=0,SUM(Tong_hop_kenh!G2:G5)=0),"",SUM(Tong_hop_kenh!G2:G5)/SUM(Tong_hop_kenh!B2:B5))</f>
        <v>#REF!</v>
      </c>
      <c r="C17" s="14" t="s">
        <v>65</v>
      </c>
    </row>
  </sheetData>
  <mergeCells count="2">
    <mergeCell ref="A1:C1"/>
    <mergeCell ref="A2:C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12" customWidth="1"/>
    <col min="2" max="2" width="17" customWidth="1"/>
    <col min="3" max="3" width="31" customWidth="1"/>
    <col min="4" max="6" width="34" customWidth="1"/>
    <col min="7" max="7" width="30" customWidth="1"/>
    <col min="8" max="8" width="33" customWidth="1"/>
    <col min="9" max="9" width="19" customWidth="1"/>
    <col min="10" max="10" width="34" customWidth="1"/>
  </cols>
  <sheetData>
    <row r="1" spans="1:10" ht="31.95" customHeight="1" x14ac:dyDescent="0.3">
      <c r="A1" s="19" t="s">
        <v>66</v>
      </c>
      <c r="B1" s="19" t="s">
        <v>67</v>
      </c>
      <c r="C1" s="19" t="s">
        <v>68</v>
      </c>
      <c r="D1" s="19" t="s">
        <v>69</v>
      </c>
      <c r="E1" s="19" t="s">
        <v>70</v>
      </c>
      <c r="F1" s="19" t="s">
        <v>71</v>
      </c>
      <c r="G1" s="19" t="s">
        <v>72</v>
      </c>
      <c r="H1" s="19" t="s">
        <v>73</v>
      </c>
      <c r="I1" s="19" t="s">
        <v>74</v>
      </c>
      <c r="J1" s="19" t="s">
        <v>75</v>
      </c>
    </row>
    <row r="2" spans="1:10" ht="26.4" customHeight="1" x14ac:dyDescent="0.3">
      <c r="A2" s="20">
        <v>1</v>
      </c>
      <c r="B2" s="20" t="s">
        <v>76</v>
      </c>
      <c r="C2" s="20" t="s">
        <v>4</v>
      </c>
      <c r="D2" s="20" t="s">
        <v>77</v>
      </c>
      <c r="E2" s="20" t="s">
        <v>78</v>
      </c>
      <c r="F2" s="20" t="s">
        <v>79</v>
      </c>
      <c r="G2" s="20" t="s">
        <v>80</v>
      </c>
      <c r="H2" s="20" t="s">
        <v>81</v>
      </c>
      <c r="I2" s="20" t="s">
        <v>82</v>
      </c>
      <c r="J2" s="20" t="s">
        <v>83</v>
      </c>
    </row>
    <row r="3" spans="1:10" ht="26.4" customHeight="1" x14ac:dyDescent="0.3">
      <c r="A3" s="5">
        <v>2</v>
      </c>
      <c r="B3" s="5" t="s">
        <v>76</v>
      </c>
      <c r="C3" s="5" t="s">
        <v>3</v>
      </c>
      <c r="D3" s="5" t="s">
        <v>84</v>
      </c>
      <c r="E3" s="5" t="s">
        <v>78</v>
      </c>
      <c r="F3" s="5" t="s">
        <v>85</v>
      </c>
      <c r="G3" s="5" t="s">
        <v>86</v>
      </c>
      <c r="H3" s="5" t="s">
        <v>87</v>
      </c>
      <c r="I3" s="5" t="s">
        <v>82</v>
      </c>
      <c r="J3" s="5" t="s">
        <v>88</v>
      </c>
    </row>
    <row r="4" spans="1:10" ht="26.4" customHeight="1" x14ac:dyDescent="0.3">
      <c r="A4" s="20">
        <v>3</v>
      </c>
      <c r="B4" s="20" t="s">
        <v>76</v>
      </c>
      <c r="C4" s="20" t="s">
        <v>89</v>
      </c>
      <c r="D4" s="20" t="s">
        <v>90</v>
      </c>
      <c r="E4" s="20" t="s">
        <v>91</v>
      </c>
      <c r="F4" s="20" t="s">
        <v>92</v>
      </c>
      <c r="G4" s="20" t="s">
        <v>93</v>
      </c>
      <c r="H4" s="20" t="s">
        <v>94</v>
      </c>
      <c r="I4" s="20" t="s">
        <v>82</v>
      </c>
      <c r="J4" s="20" t="s">
        <v>95</v>
      </c>
    </row>
    <row r="5" spans="1:10" ht="26.4" customHeight="1" x14ac:dyDescent="0.3">
      <c r="A5" s="5">
        <v>4</v>
      </c>
      <c r="B5" s="5" t="s">
        <v>5</v>
      </c>
      <c r="C5" s="5" t="s">
        <v>96</v>
      </c>
      <c r="D5" s="5" t="s">
        <v>97</v>
      </c>
      <c r="E5" s="5" t="s">
        <v>78</v>
      </c>
      <c r="F5" s="5" t="s">
        <v>79</v>
      </c>
      <c r="G5" s="5" t="s">
        <v>98</v>
      </c>
      <c r="H5" s="5" t="s">
        <v>81</v>
      </c>
      <c r="I5" s="5" t="s">
        <v>82</v>
      </c>
      <c r="J5" s="5" t="s">
        <v>99</v>
      </c>
    </row>
    <row r="6" spans="1:10" x14ac:dyDescent="0.3">
      <c r="A6" s="20">
        <v>5</v>
      </c>
      <c r="B6" s="20" t="s">
        <v>5</v>
      </c>
      <c r="C6" s="20" t="s">
        <v>100</v>
      </c>
      <c r="D6" s="20" t="s">
        <v>101</v>
      </c>
      <c r="E6" s="20" t="s">
        <v>102</v>
      </c>
      <c r="F6" s="20" t="s">
        <v>103</v>
      </c>
      <c r="G6" s="20" t="s">
        <v>93</v>
      </c>
      <c r="H6" s="20" t="s">
        <v>94</v>
      </c>
      <c r="I6" s="20" t="s">
        <v>82</v>
      </c>
      <c r="J6" s="20" t="s">
        <v>99</v>
      </c>
    </row>
    <row r="7" spans="1:10" ht="26.4" customHeight="1" x14ac:dyDescent="0.3">
      <c r="A7" s="5">
        <v>6</v>
      </c>
      <c r="B7" s="5" t="s">
        <v>5</v>
      </c>
      <c r="C7" s="5" t="s">
        <v>104</v>
      </c>
      <c r="D7" s="5" t="s">
        <v>105</v>
      </c>
      <c r="E7" s="5" t="s">
        <v>106</v>
      </c>
      <c r="F7" s="5" t="s">
        <v>107</v>
      </c>
      <c r="G7" s="5" t="s">
        <v>93</v>
      </c>
      <c r="H7" s="5" t="s">
        <v>94</v>
      </c>
      <c r="I7" s="5" t="s">
        <v>108</v>
      </c>
      <c r="J7" s="5" t="s">
        <v>109</v>
      </c>
    </row>
    <row r="8" spans="1:10" ht="26.4" customHeight="1" x14ac:dyDescent="0.3">
      <c r="A8" s="20">
        <v>7</v>
      </c>
      <c r="B8" s="20" t="s">
        <v>110</v>
      </c>
      <c r="C8" s="20" t="s">
        <v>111</v>
      </c>
      <c r="D8" s="20" t="s">
        <v>112</v>
      </c>
      <c r="E8" s="20" t="s">
        <v>113</v>
      </c>
      <c r="F8" s="20" t="s">
        <v>114</v>
      </c>
      <c r="G8" s="20" t="s">
        <v>115</v>
      </c>
      <c r="H8" s="20" t="s">
        <v>116</v>
      </c>
      <c r="I8" s="20" t="s">
        <v>117</v>
      </c>
      <c r="J8" s="20" t="s">
        <v>118</v>
      </c>
    </row>
    <row r="9" spans="1:10" ht="26.4" customHeight="1" x14ac:dyDescent="0.3">
      <c r="A9" s="5">
        <v>8</v>
      </c>
      <c r="B9" s="5" t="s">
        <v>110</v>
      </c>
      <c r="C9" s="5" t="s">
        <v>119</v>
      </c>
      <c r="D9" s="5" t="s">
        <v>120</v>
      </c>
      <c r="E9" s="5" t="s">
        <v>121</v>
      </c>
      <c r="F9" s="5" t="s">
        <v>122</v>
      </c>
      <c r="G9" s="5" t="s">
        <v>115</v>
      </c>
      <c r="H9" s="5" t="s">
        <v>116</v>
      </c>
      <c r="I9" s="5" t="s">
        <v>117</v>
      </c>
      <c r="J9" s="5" t="s">
        <v>123</v>
      </c>
    </row>
    <row r="10" spans="1:10" ht="26.4" customHeight="1" x14ac:dyDescent="0.3">
      <c r="A10" s="20">
        <v>9</v>
      </c>
      <c r="B10" s="20" t="s">
        <v>110</v>
      </c>
      <c r="C10" s="20" t="s">
        <v>124</v>
      </c>
      <c r="D10" s="20" t="s">
        <v>125</v>
      </c>
      <c r="E10" s="20" t="s">
        <v>126</v>
      </c>
      <c r="F10" s="20" t="s">
        <v>127</v>
      </c>
      <c r="G10" s="20" t="s">
        <v>128</v>
      </c>
      <c r="H10" s="20" t="s">
        <v>116</v>
      </c>
      <c r="I10" s="20" t="s">
        <v>117</v>
      </c>
      <c r="J10" s="20" t="s">
        <v>129</v>
      </c>
    </row>
    <row r="11" spans="1:10" ht="26.4" customHeight="1" x14ac:dyDescent="0.3">
      <c r="A11" s="5">
        <v>10</v>
      </c>
      <c r="B11" s="5" t="s">
        <v>130</v>
      </c>
      <c r="C11" s="5" t="s">
        <v>131</v>
      </c>
      <c r="D11" s="5" t="s">
        <v>132</v>
      </c>
      <c r="E11" s="5" t="s">
        <v>133</v>
      </c>
      <c r="F11" s="5" t="s">
        <v>134</v>
      </c>
      <c r="G11" s="5" t="s">
        <v>135</v>
      </c>
      <c r="H11" s="5" t="s">
        <v>136</v>
      </c>
      <c r="I11" s="5" t="s">
        <v>137</v>
      </c>
      <c r="J11" s="5" t="s">
        <v>138</v>
      </c>
    </row>
    <row r="12" spans="1:10" ht="26.4" customHeight="1" x14ac:dyDescent="0.3">
      <c r="A12" s="20">
        <v>11</v>
      </c>
      <c r="B12" s="20" t="s">
        <v>139</v>
      </c>
      <c r="C12" s="20" t="s">
        <v>7</v>
      </c>
      <c r="D12" s="20" t="s">
        <v>140</v>
      </c>
      <c r="E12" s="20" t="s">
        <v>141</v>
      </c>
      <c r="F12" s="20" t="s">
        <v>142</v>
      </c>
      <c r="G12" s="20" t="s">
        <v>98</v>
      </c>
      <c r="H12" s="20" t="s">
        <v>81</v>
      </c>
      <c r="I12" s="20" t="s">
        <v>143</v>
      </c>
      <c r="J12" s="20" t="s">
        <v>99</v>
      </c>
    </row>
    <row r="13" spans="1:10" ht="26.4" customHeight="1" x14ac:dyDescent="0.3">
      <c r="A13" s="5">
        <v>12</v>
      </c>
      <c r="B13" s="5" t="s">
        <v>139</v>
      </c>
      <c r="C13" s="5" t="s">
        <v>144</v>
      </c>
      <c r="D13" s="5" t="s">
        <v>145</v>
      </c>
      <c r="E13" s="5" t="s">
        <v>141</v>
      </c>
      <c r="F13" s="5" t="s">
        <v>146</v>
      </c>
      <c r="G13" s="5" t="s">
        <v>98</v>
      </c>
      <c r="H13" s="5" t="s">
        <v>81</v>
      </c>
      <c r="I13" s="5" t="s">
        <v>137</v>
      </c>
      <c r="J13" s="5" t="s">
        <v>147</v>
      </c>
    </row>
    <row r="14" spans="1:10" ht="26.4" customHeight="1" x14ac:dyDescent="0.3">
      <c r="A14" s="20">
        <v>13</v>
      </c>
      <c r="B14" s="20" t="s">
        <v>139</v>
      </c>
      <c r="C14" s="20" t="s">
        <v>148</v>
      </c>
      <c r="D14" s="20" t="s">
        <v>149</v>
      </c>
      <c r="E14" s="20" t="s">
        <v>150</v>
      </c>
      <c r="F14" s="20" t="s">
        <v>151</v>
      </c>
      <c r="G14" s="20" t="s">
        <v>93</v>
      </c>
      <c r="H14" s="20" t="s">
        <v>94</v>
      </c>
      <c r="I14" s="20" t="s">
        <v>143</v>
      </c>
      <c r="J14" s="20" t="s">
        <v>152</v>
      </c>
    </row>
    <row r="15" spans="1:10" ht="26.4" x14ac:dyDescent="0.3">
      <c r="A15" s="5">
        <v>14</v>
      </c>
      <c r="B15" s="5" t="s">
        <v>139</v>
      </c>
      <c r="C15" s="5" t="s">
        <v>153</v>
      </c>
      <c r="D15" s="5" t="s">
        <v>154</v>
      </c>
      <c r="E15" s="5" t="s">
        <v>155</v>
      </c>
      <c r="F15" s="5" t="s">
        <v>156</v>
      </c>
      <c r="G15" s="5" t="s">
        <v>93</v>
      </c>
      <c r="H15" s="5" t="s">
        <v>94</v>
      </c>
      <c r="I15" s="5" t="s">
        <v>143</v>
      </c>
      <c r="J15" s="5" t="s">
        <v>157</v>
      </c>
    </row>
    <row r="16" spans="1:10" ht="26.4" customHeight="1" x14ac:dyDescent="0.3">
      <c r="A16" s="20">
        <v>15</v>
      </c>
      <c r="B16" s="20" t="s">
        <v>158</v>
      </c>
      <c r="C16" s="20" t="s">
        <v>159</v>
      </c>
      <c r="D16" s="20" t="s">
        <v>160</v>
      </c>
      <c r="E16" s="20" t="s">
        <v>161</v>
      </c>
      <c r="F16" s="20" t="s">
        <v>162</v>
      </c>
      <c r="G16" s="20" t="s">
        <v>135</v>
      </c>
      <c r="H16" s="20" t="s">
        <v>94</v>
      </c>
      <c r="I16" s="20" t="s">
        <v>163</v>
      </c>
      <c r="J16" s="20" t="s">
        <v>164</v>
      </c>
    </row>
    <row r="17" spans="1:10" ht="26.4" customHeight="1" x14ac:dyDescent="0.3">
      <c r="A17" s="5">
        <v>16</v>
      </c>
      <c r="B17" s="5" t="s">
        <v>139</v>
      </c>
      <c r="C17" s="5" t="s">
        <v>165</v>
      </c>
      <c r="D17" s="5" t="s">
        <v>166</v>
      </c>
      <c r="E17" s="5" t="s">
        <v>167</v>
      </c>
      <c r="F17" s="5" t="s">
        <v>168</v>
      </c>
      <c r="G17" s="5" t="s">
        <v>135</v>
      </c>
      <c r="H17" s="5" t="s">
        <v>169</v>
      </c>
      <c r="I17" s="5" t="s">
        <v>143</v>
      </c>
      <c r="J17" s="5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34" customWidth="1"/>
    <col min="4" max="4" width="19" customWidth="1"/>
    <col min="5" max="5" width="34" customWidth="1"/>
    <col min="6" max="7" width="19" customWidth="1"/>
  </cols>
  <sheetData>
    <row r="1" spans="1:7" ht="31.95" customHeight="1" x14ac:dyDescent="0.3">
      <c r="A1" s="19" t="s">
        <v>66</v>
      </c>
      <c r="B1" s="19" t="s">
        <v>171</v>
      </c>
      <c r="C1" s="19" t="s">
        <v>172</v>
      </c>
      <c r="D1" s="19" t="s">
        <v>173</v>
      </c>
      <c r="E1" s="19" t="s">
        <v>174</v>
      </c>
      <c r="F1" s="19" t="s">
        <v>175</v>
      </c>
      <c r="G1" s="19" t="s">
        <v>176</v>
      </c>
    </row>
    <row r="2" spans="1:7" ht="26.4" customHeight="1" x14ac:dyDescent="0.3">
      <c r="A2" s="20">
        <v>1</v>
      </c>
      <c r="B2" s="20" t="s">
        <v>177</v>
      </c>
      <c r="C2" s="20" t="s">
        <v>178</v>
      </c>
      <c r="D2" s="20" t="s">
        <v>179</v>
      </c>
      <c r="E2" s="20" t="s">
        <v>180</v>
      </c>
      <c r="F2" s="20" t="s">
        <v>181</v>
      </c>
      <c r="G2" s="10"/>
    </row>
    <row r="3" spans="1:7" ht="26.4" customHeight="1" x14ac:dyDescent="0.3">
      <c r="A3" s="5">
        <v>2</v>
      </c>
      <c r="B3" s="5" t="s">
        <v>182</v>
      </c>
      <c r="C3" s="5" t="s">
        <v>183</v>
      </c>
      <c r="D3" s="5" t="s">
        <v>184</v>
      </c>
      <c r="E3" s="5" t="s">
        <v>185</v>
      </c>
      <c r="F3" s="5" t="s">
        <v>186</v>
      </c>
      <c r="G3" s="10"/>
    </row>
    <row r="4" spans="1:7" ht="26.4" customHeight="1" x14ac:dyDescent="0.3">
      <c r="A4" s="20">
        <v>3</v>
      </c>
      <c r="B4" s="20" t="s">
        <v>187</v>
      </c>
      <c r="C4" s="20" t="s">
        <v>188</v>
      </c>
      <c r="D4" s="20" t="s">
        <v>189</v>
      </c>
      <c r="E4" s="20" t="s">
        <v>190</v>
      </c>
      <c r="F4" s="20" t="s">
        <v>191</v>
      </c>
      <c r="G4" s="10"/>
    </row>
    <row r="5" spans="1:7" ht="39.6" customHeight="1" x14ac:dyDescent="0.3">
      <c r="A5" s="5">
        <v>4</v>
      </c>
      <c r="B5" s="5" t="s">
        <v>192</v>
      </c>
      <c r="C5" s="5" t="s">
        <v>193</v>
      </c>
      <c r="D5" s="5" t="s">
        <v>194</v>
      </c>
      <c r="E5" s="5" t="s">
        <v>195</v>
      </c>
      <c r="F5" s="5" t="s">
        <v>191</v>
      </c>
      <c r="G5" s="10"/>
    </row>
    <row r="6" spans="1:7" ht="26.4" customHeight="1" x14ac:dyDescent="0.3">
      <c r="A6" s="20">
        <v>5</v>
      </c>
      <c r="B6" s="20" t="s">
        <v>196</v>
      </c>
      <c r="C6" s="20" t="s">
        <v>197</v>
      </c>
      <c r="D6" s="20" t="s">
        <v>198</v>
      </c>
      <c r="E6" s="20" t="s">
        <v>199</v>
      </c>
      <c r="F6" s="20" t="s">
        <v>200</v>
      </c>
      <c r="G6" s="10"/>
    </row>
    <row r="7" spans="1:7" x14ac:dyDescent="0.3">
      <c r="A7" s="5">
        <v>6</v>
      </c>
      <c r="B7" s="5" t="s">
        <v>201</v>
      </c>
      <c r="C7" s="5" t="s">
        <v>202</v>
      </c>
      <c r="D7" s="5" t="s">
        <v>194</v>
      </c>
      <c r="E7" s="5" t="s">
        <v>203</v>
      </c>
      <c r="F7" s="5" t="s">
        <v>191</v>
      </c>
      <c r="G7" s="10"/>
    </row>
    <row r="8" spans="1:7" ht="26.4" customHeight="1" x14ac:dyDescent="0.3">
      <c r="A8" s="20">
        <v>7</v>
      </c>
      <c r="B8" s="20" t="s">
        <v>204</v>
      </c>
      <c r="C8" s="20" t="s">
        <v>205</v>
      </c>
      <c r="D8" s="20" t="s">
        <v>206</v>
      </c>
      <c r="E8" s="20" t="s">
        <v>207</v>
      </c>
      <c r="F8" s="20" t="s">
        <v>208</v>
      </c>
      <c r="G8" s="10"/>
    </row>
    <row r="9" spans="1:7" ht="26.4" customHeight="1" x14ac:dyDescent="0.3">
      <c r="A9" s="5">
        <v>8</v>
      </c>
      <c r="B9" s="5" t="s">
        <v>209</v>
      </c>
      <c r="C9" s="5" t="s">
        <v>210</v>
      </c>
      <c r="D9" s="5" t="s">
        <v>206</v>
      </c>
      <c r="E9" s="5" t="s">
        <v>211</v>
      </c>
      <c r="F9" s="5" t="s">
        <v>212</v>
      </c>
      <c r="G9" s="10"/>
    </row>
    <row r="10" spans="1:7" ht="26.4" customHeight="1" x14ac:dyDescent="0.3">
      <c r="A10" s="20">
        <v>9</v>
      </c>
      <c r="B10" s="20" t="s">
        <v>213</v>
      </c>
      <c r="C10" s="20" t="s">
        <v>214</v>
      </c>
      <c r="D10" s="20" t="s">
        <v>179</v>
      </c>
      <c r="E10" s="20" t="s">
        <v>215</v>
      </c>
      <c r="F10" s="20" t="s">
        <v>181</v>
      </c>
      <c r="G10" s="10"/>
    </row>
    <row r="11" spans="1:7" ht="26.4" x14ac:dyDescent="0.3">
      <c r="A11" s="5">
        <v>10</v>
      </c>
      <c r="B11" s="5" t="s">
        <v>216</v>
      </c>
      <c r="C11" s="5" t="s">
        <v>217</v>
      </c>
      <c r="D11" s="5" t="s">
        <v>93</v>
      </c>
      <c r="E11" s="5" t="s">
        <v>218</v>
      </c>
      <c r="F11" s="5" t="s">
        <v>219</v>
      </c>
      <c r="G11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4" customWidth="1"/>
    <col min="3" max="4" width="19" customWidth="1"/>
    <col min="5" max="7" width="34" customWidth="1"/>
    <col min="8" max="9" width="12" customWidth="1"/>
  </cols>
  <sheetData>
    <row r="1" spans="1:9" ht="31.95" customHeight="1" x14ac:dyDescent="0.3">
      <c r="A1" s="19" t="s">
        <v>220</v>
      </c>
      <c r="B1" s="19" t="s">
        <v>221</v>
      </c>
      <c r="C1" s="19" t="s">
        <v>222</v>
      </c>
      <c r="D1" s="19" t="s">
        <v>223</v>
      </c>
      <c r="E1" s="19" t="s">
        <v>224</v>
      </c>
      <c r="F1" s="19" t="s">
        <v>225</v>
      </c>
      <c r="G1" s="19" t="s">
        <v>226</v>
      </c>
      <c r="H1" s="19" t="s">
        <v>227</v>
      </c>
      <c r="I1" s="19" t="s">
        <v>228</v>
      </c>
    </row>
    <row r="2" spans="1:9" ht="26.4" customHeight="1" x14ac:dyDescent="0.3">
      <c r="A2" s="20" t="s">
        <v>191</v>
      </c>
      <c r="B2" s="20" t="s">
        <v>229</v>
      </c>
      <c r="C2" s="20" t="s">
        <v>194</v>
      </c>
      <c r="D2" s="20" t="s">
        <v>179</v>
      </c>
      <c r="E2" s="20" t="s">
        <v>230</v>
      </c>
      <c r="F2" s="20" t="s">
        <v>231</v>
      </c>
      <c r="G2" s="20" t="s">
        <v>232</v>
      </c>
      <c r="H2" s="10"/>
      <c r="I2" s="10"/>
    </row>
    <row r="3" spans="1:9" ht="26.4" customHeight="1" x14ac:dyDescent="0.3">
      <c r="A3" s="5" t="s">
        <v>208</v>
      </c>
      <c r="B3" s="5" t="s">
        <v>233</v>
      </c>
      <c r="C3" s="5" t="s">
        <v>206</v>
      </c>
      <c r="D3" s="5" t="s">
        <v>184</v>
      </c>
      <c r="E3" s="5" t="s">
        <v>234</v>
      </c>
      <c r="F3" s="5" t="s">
        <v>235</v>
      </c>
      <c r="G3" s="5" t="s">
        <v>236</v>
      </c>
      <c r="H3" s="10"/>
      <c r="I3" s="10"/>
    </row>
    <row r="4" spans="1:9" ht="26.4" customHeight="1" x14ac:dyDescent="0.3">
      <c r="A4" s="20" t="s">
        <v>237</v>
      </c>
      <c r="B4" s="20" t="s">
        <v>238</v>
      </c>
      <c r="C4" s="20" t="s">
        <v>206</v>
      </c>
      <c r="D4" s="20" t="s">
        <v>194</v>
      </c>
      <c r="E4" s="20" t="s">
        <v>239</v>
      </c>
      <c r="F4" s="20" t="s">
        <v>240</v>
      </c>
      <c r="G4" s="20" t="s">
        <v>241</v>
      </c>
      <c r="H4" s="10"/>
      <c r="I4" s="10"/>
    </row>
    <row r="5" spans="1:9" ht="39.6" customHeight="1" x14ac:dyDescent="0.3">
      <c r="A5" s="5" t="s">
        <v>242</v>
      </c>
      <c r="B5" s="5" t="s">
        <v>243</v>
      </c>
      <c r="C5" s="5" t="s">
        <v>244</v>
      </c>
      <c r="D5" s="5" t="s">
        <v>245</v>
      </c>
      <c r="E5" s="5" t="s">
        <v>246</v>
      </c>
      <c r="F5" s="5" t="s">
        <v>247</v>
      </c>
      <c r="G5" s="5" t="s">
        <v>248</v>
      </c>
      <c r="H5" s="10"/>
      <c r="I5" s="10"/>
    </row>
    <row r="6" spans="1:9" ht="26.4" customHeight="1" x14ac:dyDescent="0.3">
      <c r="A6" s="20" t="s">
        <v>249</v>
      </c>
      <c r="B6" s="20" t="s">
        <v>250</v>
      </c>
      <c r="C6" s="20" t="s">
        <v>179</v>
      </c>
      <c r="D6" s="20" t="s">
        <v>194</v>
      </c>
      <c r="E6" s="20" t="s">
        <v>251</v>
      </c>
      <c r="F6" s="20" t="s">
        <v>252</v>
      </c>
      <c r="G6" s="20" t="s">
        <v>253</v>
      </c>
      <c r="H6" s="10"/>
      <c r="I6" s="10"/>
    </row>
    <row r="7" spans="1:9" ht="26.4" x14ac:dyDescent="0.3">
      <c r="A7" s="5" t="s">
        <v>82</v>
      </c>
      <c r="B7" s="5" t="s">
        <v>254</v>
      </c>
      <c r="C7" s="5" t="s">
        <v>179</v>
      </c>
      <c r="D7" s="5" t="s">
        <v>255</v>
      </c>
      <c r="E7" s="5" t="s">
        <v>256</v>
      </c>
      <c r="F7" s="5" t="s">
        <v>257</v>
      </c>
      <c r="G7" s="5" t="s">
        <v>94</v>
      </c>
      <c r="H7" s="10"/>
      <c r="I7" s="10"/>
    </row>
    <row r="8" spans="1:9" ht="26.4" x14ac:dyDescent="0.3">
      <c r="A8" s="20" t="s">
        <v>117</v>
      </c>
      <c r="B8" s="20" t="s">
        <v>258</v>
      </c>
      <c r="C8" s="20" t="s">
        <v>184</v>
      </c>
      <c r="D8" s="20" t="s">
        <v>93</v>
      </c>
      <c r="E8" s="20" t="s">
        <v>259</v>
      </c>
      <c r="F8" s="20" t="s">
        <v>260</v>
      </c>
      <c r="G8" s="20" t="s">
        <v>116</v>
      </c>
      <c r="H8" s="10"/>
      <c r="I8" s="10"/>
    </row>
    <row r="9" spans="1:9" ht="26.4" customHeight="1" x14ac:dyDescent="0.3">
      <c r="A9" s="5" t="s">
        <v>137</v>
      </c>
      <c r="B9" s="5" t="s">
        <v>261</v>
      </c>
      <c r="C9" s="5" t="s">
        <v>179</v>
      </c>
      <c r="D9" s="5" t="s">
        <v>262</v>
      </c>
      <c r="E9" s="5" t="s">
        <v>263</v>
      </c>
      <c r="F9" s="5" t="s">
        <v>264</v>
      </c>
      <c r="G9" s="5" t="s">
        <v>265</v>
      </c>
      <c r="H9" s="10"/>
      <c r="I9" s="10"/>
    </row>
    <row r="10" spans="1:9" ht="26.4" customHeight="1" x14ac:dyDescent="0.3">
      <c r="A10" s="20" t="s">
        <v>163</v>
      </c>
      <c r="B10" s="20" t="s">
        <v>266</v>
      </c>
      <c r="C10" s="20" t="s">
        <v>179</v>
      </c>
      <c r="D10" s="20" t="s">
        <v>262</v>
      </c>
      <c r="E10" s="20" t="s">
        <v>267</v>
      </c>
      <c r="F10" s="20" t="s">
        <v>268</v>
      </c>
      <c r="G10" s="20" t="s">
        <v>269</v>
      </c>
      <c r="H10" s="10"/>
      <c r="I1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workbookViewId="0">
      <pane ySplit="1" topLeftCell="A9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19" customWidth="1"/>
    <col min="3" max="3" width="23" customWidth="1"/>
    <col min="4" max="4" width="34" customWidth="1"/>
    <col min="5" max="5" width="14" customWidth="1"/>
  </cols>
  <sheetData>
    <row r="1" spans="1:5" ht="31.95" customHeight="1" x14ac:dyDescent="0.3">
      <c r="A1" s="19" t="s">
        <v>270</v>
      </c>
      <c r="B1" s="19" t="s">
        <v>271</v>
      </c>
      <c r="C1" s="19" t="s">
        <v>272</v>
      </c>
      <c r="D1" s="19" t="s">
        <v>273</v>
      </c>
    </row>
    <row r="2" spans="1:5" ht="26.4" x14ac:dyDescent="0.3">
      <c r="A2" s="20" t="s">
        <v>274</v>
      </c>
      <c r="B2" s="21">
        <v>7500000</v>
      </c>
      <c r="C2" s="20" t="s">
        <v>275</v>
      </c>
      <c r="D2" s="20" t="s">
        <v>276</v>
      </c>
    </row>
    <row r="3" spans="1:5" ht="26.4" x14ac:dyDescent="0.3">
      <c r="A3" s="5" t="s">
        <v>277</v>
      </c>
      <c r="B3" s="6">
        <v>6000000</v>
      </c>
      <c r="C3" s="5" t="s">
        <v>275</v>
      </c>
      <c r="D3" s="5" t="s">
        <v>278</v>
      </c>
    </row>
    <row r="4" spans="1:5" ht="26.4" customHeight="1" x14ac:dyDescent="0.3">
      <c r="A4" s="20" t="s">
        <v>279</v>
      </c>
      <c r="B4" s="21">
        <v>5</v>
      </c>
      <c r="C4" s="20" t="s">
        <v>280</v>
      </c>
      <c r="D4" s="20" t="s">
        <v>281</v>
      </c>
    </row>
    <row r="5" spans="1:5" x14ac:dyDescent="0.3">
      <c r="A5" s="5" t="s">
        <v>282</v>
      </c>
      <c r="B5" s="6">
        <v>500000</v>
      </c>
      <c r="C5" s="5" t="s">
        <v>275</v>
      </c>
      <c r="D5" s="5" t="s">
        <v>283</v>
      </c>
    </row>
    <row r="6" spans="1:5" x14ac:dyDescent="0.3">
      <c r="A6" s="20" t="s">
        <v>284</v>
      </c>
      <c r="B6" s="21">
        <v>95000</v>
      </c>
      <c r="C6" s="20" t="s">
        <v>275</v>
      </c>
      <c r="D6" s="20" t="s">
        <v>285</v>
      </c>
    </row>
    <row r="7" spans="1:5" ht="39.6" x14ac:dyDescent="0.3">
      <c r="A7" s="5" t="s">
        <v>286</v>
      </c>
      <c r="B7" s="7">
        <f>B4*(B5+B6+30000)</f>
        <v>3125000</v>
      </c>
      <c r="C7" s="5" t="s">
        <v>275</v>
      </c>
      <c r="D7" s="5" t="s">
        <v>287</v>
      </c>
    </row>
    <row r="8" spans="1:5" ht="39.6" x14ac:dyDescent="0.3">
      <c r="A8" s="20" t="s">
        <v>288</v>
      </c>
      <c r="B8" s="22">
        <v>15000000</v>
      </c>
      <c r="C8" s="20" t="s">
        <v>275</v>
      </c>
      <c r="D8" s="20" t="s">
        <v>289</v>
      </c>
    </row>
    <row r="9" spans="1:5" x14ac:dyDescent="0.3">
      <c r="A9" s="5" t="s">
        <v>290</v>
      </c>
      <c r="B9" s="8"/>
      <c r="C9" s="5" t="s">
        <v>275</v>
      </c>
      <c r="D9" s="5" t="s">
        <v>291</v>
      </c>
    </row>
    <row r="10" spans="1:5" ht="26.4" x14ac:dyDescent="0.3">
      <c r="A10" s="20" t="s">
        <v>292</v>
      </c>
      <c r="B10" s="8"/>
      <c r="C10" s="20" t="s">
        <v>293</v>
      </c>
      <c r="D10" s="20" t="s">
        <v>294</v>
      </c>
    </row>
    <row r="11" spans="1:5" x14ac:dyDescent="0.3">
      <c r="A11" s="5" t="s">
        <v>295</v>
      </c>
      <c r="B11" s="9"/>
      <c r="C11" s="5" t="s">
        <v>296</v>
      </c>
      <c r="D11" s="5" t="s">
        <v>291</v>
      </c>
    </row>
    <row r="12" spans="1:5" ht="26.4" x14ac:dyDescent="0.3">
      <c r="A12" s="20" t="s">
        <v>297</v>
      </c>
      <c r="B12" s="23">
        <v>0.2</v>
      </c>
      <c r="C12" s="20" t="s">
        <v>298</v>
      </c>
      <c r="D12" s="20" t="s">
        <v>299</v>
      </c>
    </row>
    <row r="13" spans="1:5" ht="26.4" x14ac:dyDescent="0.3">
      <c r="A13" s="5" t="s">
        <v>300</v>
      </c>
      <c r="B13" s="8"/>
      <c r="C13" s="5" t="s">
        <v>280</v>
      </c>
      <c r="D13" s="5" t="s">
        <v>301</v>
      </c>
    </row>
    <row r="15" spans="1:5" ht="27.6" x14ac:dyDescent="0.3">
      <c r="A15" s="24" t="s">
        <v>302</v>
      </c>
    </row>
    <row r="16" spans="1:5" ht="27" customHeight="1" x14ac:dyDescent="0.3">
      <c r="A16" s="25" t="s">
        <v>303</v>
      </c>
      <c r="B16" s="25" t="s">
        <v>304</v>
      </c>
      <c r="C16" s="25" t="s">
        <v>305</v>
      </c>
      <c r="D16" s="25" t="s">
        <v>306</v>
      </c>
      <c r="E16" s="25" t="s">
        <v>307</v>
      </c>
    </row>
    <row r="17" spans="1:5" x14ac:dyDescent="0.3">
      <c r="A17" s="7" t="s">
        <v>308</v>
      </c>
      <c r="B17" s="6">
        <v>199000</v>
      </c>
      <c r="C17" s="6">
        <v>95000</v>
      </c>
      <c r="D17" s="7">
        <f>B17-C17</f>
        <v>104000</v>
      </c>
      <c r="E17" s="26">
        <f>D17/B17</f>
        <v>0.52261306532663321</v>
      </c>
    </row>
    <row r="18" spans="1:5" x14ac:dyDescent="0.3">
      <c r="A18" s="22" t="s">
        <v>309</v>
      </c>
      <c r="B18" s="21">
        <v>229000</v>
      </c>
      <c r="C18" s="21">
        <v>110000</v>
      </c>
      <c r="D18" s="22">
        <f>B18-C18</f>
        <v>119000</v>
      </c>
      <c r="E18" s="27">
        <f>D18/B18</f>
        <v>0.51965065502183405</v>
      </c>
    </row>
    <row r="19" spans="1:5" x14ac:dyDescent="0.3">
      <c r="A19" s="7" t="s">
        <v>310</v>
      </c>
      <c r="B19" s="6">
        <v>269000</v>
      </c>
      <c r="C19" s="6">
        <v>130000</v>
      </c>
      <c r="D19" s="7">
        <f>B19-C19</f>
        <v>139000</v>
      </c>
      <c r="E19" s="26">
        <f>D19/B19</f>
        <v>0.51672862453531598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1"/>
  <sheetViews>
    <sheetView showGridLines="0" workbookViewId="0">
      <pane ySplit="1" topLeftCell="A2" activePane="bottomLeft" state="frozen"/>
      <selection pane="bottomLeft" activeCell="C2" sqref="C2"/>
    </sheetView>
  </sheetViews>
  <sheetFormatPr defaultColWidth="8.6640625" defaultRowHeight="13.8" x14ac:dyDescent="0.25"/>
  <cols>
    <col min="1" max="2" width="12" style="59" customWidth="1"/>
    <col min="3" max="3" width="16" style="59" customWidth="1"/>
    <col min="4" max="5" width="15" style="59" customWidth="1"/>
    <col min="6" max="6" width="13" style="59" customWidth="1"/>
    <col min="7" max="8" width="12" style="59" customWidth="1"/>
    <col min="9" max="9" width="17" style="59" customWidth="1"/>
    <col min="10" max="10" width="52.88671875" style="59" customWidth="1"/>
    <col min="11" max="16384" width="8.6640625" style="59"/>
  </cols>
  <sheetData>
    <row r="1" spans="1:10" ht="31.95" customHeight="1" x14ac:dyDescent="0.25">
      <c r="A1" s="60" t="s">
        <v>0</v>
      </c>
      <c r="B1" s="60" t="s">
        <v>311</v>
      </c>
      <c r="C1" s="60" t="s">
        <v>312</v>
      </c>
      <c r="D1" s="60" t="s">
        <v>313</v>
      </c>
      <c r="E1" s="60" t="s">
        <v>314</v>
      </c>
      <c r="F1" s="60" t="s">
        <v>4</v>
      </c>
      <c r="G1" s="60" t="s">
        <v>315</v>
      </c>
      <c r="H1" s="60" t="s">
        <v>7</v>
      </c>
      <c r="I1" s="60" t="s">
        <v>8</v>
      </c>
      <c r="J1" s="58" t="s">
        <v>478</v>
      </c>
    </row>
    <row r="2" spans="1:10" ht="110.4" x14ac:dyDescent="0.25">
      <c r="A2" s="61"/>
      <c r="B2" s="62" t="s">
        <v>479</v>
      </c>
      <c r="C2" s="62" t="s">
        <v>480</v>
      </c>
      <c r="D2" s="62" t="s">
        <v>481</v>
      </c>
      <c r="E2" s="63"/>
      <c r="F2" s="63"/>
      <c r="G2" s="63"/>
      <c r="H2" s="63"/>
      <c r="I2" s="63"/>
      <c r="J2" s="62" t="s">
        <v>482</v>
      </c>
    </row>
    <row r="3" spans="1:10" x14ac:dyDescent="0.25">
      <c r="A3" s="64"/>
      <c r="B3" s="65"/>
      <c r="C3" s="65"/>
      <c r="D3" s="65"/>
      <c r="E3" s="66"/>
      <c r="F3" s="66"/>
      <c r="G3" s="66"/>
      <c r="H3" s="66"/>
      <c r="I3" s="66"/>
      <c r="J3" s="65"/>
    </row>
    <row r="4" spans="1:10" x14ac:dyDescent="0.25">
      <c r="A4" s="64"/>
      <c r="B4" s="65"/>
      <c r="C4" s="65"/>
      <c r="D4" s="65"/>
      <c r="E4" s="66"/>
      <c r="F4" s="66"/>
      <c r="G4" s="66"/>
      <c r="H4" s="66"/>
      <c r="I4" s="66"/>
      <c r="J4" s="65"/>
    </row>
    <row r="5" spans="1:10" x14ac:dyDescent="0.25">
      <c r="A5" s="64"/>
      <c r="B5" s="65"/>
      <c r="C5" s="65"/>
      <c r="D5" s="65"/>
      <c r="E5" s="66"/>
      <c r="F5" s="66"/>
      <c r="G5" s="66"/>
      <c r="H5" s="66"/>
      <c r="I5" s="66"/>
      <c r="J5" s="65"/>
    </row>
    <row r="6" spans="1:10" x14ac:dyDescent="0.25">
      <c r="A6" s="64"/>
      <c r="B6" s="65"/>
      <c r="C6" s="65"/>
      <c r="D6" s="65"/>
      <c r="E6" s="66"/>
      <c r="F6" s="66"/>
      <c r="G6" s="66"/>
      <c r="H6" s="66"/>
      <c r="I6" s="66"/>
      <c r="J6" s="65"/>
    </row>
    <row r="7" spans="1:10" x14ac:dyDescent="0.25">
      <c r="A7" s="64"/>
      <c r="B7" s="65"/>
      <c r="C7" s="65"/>
      <c r="D7" s="65"/>
      <c r="E7" s="66"/>
      <c r="F7" s="66"/>
      <c r="G7" s="66"/>
      <c r="H7" s="66"/>
      <c r="I7" s="66"/>
      <c r="J7" s="65"/>
    </row>
    <row r="8" spans="1:10" x14ac:dyDescent="0.25">
      <c r="A8" s="64"/>
      <c r="B8" s="65"/>
      <c r="C8" s="65"/>
      <c r="D8" s="65"/>
      <c r="E8" s="66"/>
      <c r="F8" s="66"/>
      <c r="G8" s="66"/>
      <c r="H8" s="66"/>
      <c r="I8" s="66"/>
      <c r="J8" s="65"/>
    </row>
    <row r="9" spans="1:10" x14ac:dyDescent="0.25">
      <c r="A9" s="64"/>
      <c r="B9" s="65"/>
      <c r="C9" s="65"/>
      <c r="D9" s="65"/>
      <c r="E9" s="66"/>
      <c r="F9" s="66"/>
      <c r="G9" s="66"/>
      <c r="H9" s="66"/>
      <c r="I9" s="66"/>
      <c r="J9" s="65"/>
    </row>
    <row r="10" spans="1:10" x14ac:dyDescent="0.25">
      <c r="A10" s="64"/>
      <c r="B10" s="65"/>
      <c r="C10" s="65"/>
      <c r="D10" s="65"/>
      <c r="E10" s="66"/>
      <c r="F10" s="66"/>
      <c r="G10" s="66"/>
      <c r="H10" s="66"/>
      <c r="I10" s="66"/>
      <c r="J10" s="65"/>
    </row>
    <row r="11" spans="1:10" x14ac:dyDescent="0.25">
      <c r="A11" s="64"/>
      <c r="B11" s="65"/>
      <c r="C11" s="65"/>
      <c r="D11" s="65"/>
      <c r="E11" s="66"/>
      <c r="F11" s="66"/>
      <c r="G11" s="66"/>
      <c r="H11" s="66"/>
      <c r="I11" s="66"/>
      <c r="J11" s="65"/>
    </row>
    <row r="12" spans="1:10" x14ac:dyDescent="0.25">
      <c r="A12" s="64"/>
      <c r="B12" s="65"/>
      <c r="C12" s="65"/>
      <c r="D12" s="65"/>
      <c r="E12" s="66"/>
      <c r="F12" s="66"/>
      <c r="G12" s="66"/>
      <c r="H12" s="66"/>
      <c r="I12" s="66"/>
      <c r="J12" s="65"/>
    </row>
    <row r="13" spans="1:10" x14ac:dyDescent="0.25">
      <c r="A13" s="64"/>
      <c r="B13" s="65"/>
      <c r="C13" s="65"/>
      <c r="D13" s="65"/>
      <c r="E13" s="66"/>
      <c r="F13" s="66"/>
      <c r="G13" s="66"/>
      <c r="H13" s="66"/>
      <c r="I13" s="66"/>
      <c r="J13" s="65"/>
    </row>
    <row r="14" spans="1:10" x14ac:dyDescent="0.25">
      <c r="A14" s="64"/>
      <c r="B14" s="65"/>
      <c r="C14" s="65"/>
      <c r="D14" s="65"/>
      <c r="E14" s="66"/>
      <c r="F14" s="66"/>
      <c r="G14" s="66"/>
      <c r="H14" s="66"/>
      <c r="I14" s="66"/>
      <c r="J14" s="65"/>
    </row>
    <row r="15" spans="1:10" x14ac:dyDescent="0.25">
      <c r="A15" s="64"/>
      <c r="B15" s="65"/>
      <c r="C15" s="65"/>
      <c r="D15" s="65"/>
      <c r="E15" s="66"/>
      <c r="F15" s="66"/>
      <c r="G15" s="66"/>
      <c r="H15" s="66"/>
      <c r="I15" s="66"/>
      <c r="J15" s="65"/>
    </row>
    <row r="16" spans="1:10" x14ac:dyDescent="0.25">
      <c r="A16" s="64"/>
      <c r="B16" s="65"/>
      <c r="C16" s="65"/>
      <c r="D16" s="65"/>
      <c r="E16" s="66"/>
      <c r="F16" s="66"/>
      <c r="G16" s="66"/>
      <c r="H16" s="66"/>
      <c r="I16" s="66"/>
      <c r="J16" s="65"/>
    </row>
    <row r="17" spans="1:10" x14ac:dyDescent="0.25">
      <c r="A17" s="64"/>
      <c r="B17" s="65"/>
      <c r="C17" s="65"/>
      <c r="D17" s="65"/>
      <c r="E17" s="66"/>
      <c r="F17" s="66"/>
      <c r="G17" s="66"/>
      <c r="H17" s="66"/>
      <c r="I17" s="66"/>
      <c r="J17" s="65"/>
    </row>
    <row r="18" spans="1:10" x14ac:dyDescent="0.25">
      <c r="A18" s="64"/>
      <c r="B18" s="65"/>
      <c r="C18" s="65"/>
      <c r="D18" s="65"/>
      <c r="E18" s="66"/>
      <c r="F18" s="66"/>
      <c r="G18" s="66"/>
      <c r="H18" s="66"/>
      <c r="I18" s="66"/>
      <c r="J18" s="65"/>
    </row>
    <row r="19" spans="1:10" x14ac:dyDescent="0.25">
      <c r="A19" s="64"/>
      <c r="B19" s="65"/>
      <c r="C19" s="65"/>
      <c r="D19" s="65"/>
      <c r="E19" s="66"/>
      <c r="F19" s="66"/>
      <c r="G19" s="66"/>
      <c r="H19" s="66"/>
      <c r="I19" s="66"/>
      <c r="J19" s="65"/>
    </row>
    <row r="20" spans="1:10" x14ac:dyDescent="0.25">
      <c r="A20" s="64"/>
      <c r="B20" s="65"/>
      <c r="C20" s="65"/>
      <c r="D20" s="65"/>
      <c r="E20" s="66"/>
      <c r="F20" s="66"/>
      <c r="G20" s="66"/>
      <c r="H20" s="66"/>
      <c r="I20" s="66"/>
      <c r="J20" s="65"/>
    </row>
    <row r="21" spans="1:10" x14ac:dyDescent="0.25">
      <c r="A21" s="64"/>
      <c r="B21" s="65"/>
      <c r="C21" s="65"/>
      <c r="D21" s="65"/>
      <c r="E21" s="66"/>
      <c r="F21" s="66"/>
      <c r="G21" s="66"/>
      <c r="H21" s="66"/>
      <c r="I21" s="66"/>
      <c r="J21" s="65"/>
    </row>
    <row r="22" spans="1:10" x14ac:dyDescent="0.25">
      <c r="A22" s="64"/>
      <c r="B22" s="65"/>
      <c r="C22" s="65"/>
      <c r="D22" s="65"/>
      <c r="E22" s="66"/>
      <c r="F22" s="66"/>
      <c r="G22" s="66"/>
      <c r="H22" s="66"/>
      <c r="I22" s="66"/>
      <c r="J22" s="65"/>
    </row>
    <row r="23" spans="1:10" x14ac:dyDescent="0.25">
      <c r="A23" s="64"/>
      <c r="B23" s="65"/>
      <c r="C23" s="65"/>
      <c r="D23" s="65"/>
      <c r="E23" s="66"/>
      <c r="F23" s="66"/>
      <c r="G23" s="66"/>
      <c r="H23" s="66"/>
      <c r="I23" s="66"/>
      <c r="J23" s="65"/>
    </row>
    <row r="24" spans="1:10" x14ac:dyDescent="0.25">
      <c r="A24" s="64"/>
      <c r="B24" s="65"/>
      <c r="C24" s="65"/>
      <c r="D24" s="65"/>
      <c r="E24" s="66"/>
      <c r="F24" s="66"/>
      <c r="G24" s="66"/>
      <c r="H24" s="66"/>
      <c r="I24" s="66"/>
      <c r="J24" s="65"/>
    </row>
    <row r="25" spans="1:10" x14ac:dyDescent="0.25">
      <c r="A25" s="64"/>
      <c r="B25" s="65"/>
      <c r="C25" s="65"/>
      <c r="D25" s="65"/>
      <c r="E25" s="66"/>
      <c r="F25" s="66"/>
      <c r="G25" s="66"/>
      <c r="H25" s="66"/>
      <c r="I25" s="66"/>
      <c r="J25" s="65"/>
    </row>
    <row r="26" spans="1:10" x14ac:dyDescent="0.25">
      <c r="A26" s="64"/>
      <c r="B26" s="65"/>
      <c r="C26" s="65"/>
      <c r="D26" s="65"/>
      <c r="E26" s="66"/>
      <c r="F26" s="66"/>
      <c r="G26" s="66"/>
      <c r="H26" s="66"/>
      <c r="I26" s="66"/>
      <c r="J26" s="65"/>
    </row>
    <row r="27" spans="1:10" x14ac:dyDescent="0.25">
      <c r="A27" s="64"/>
      <c r="B27" s="65"/>
      <c r="C27" s="65"/>
      <c r="D27" s="65"/>
      <c r="E27" s="66"/>
      <c r="F27" s="66"/>
      <c r="G27" s="66"/>
      <c r="H27" s="66"/>
      <c r="I27" s="66"/>
      <c r="J27" s="65"/>
    </row>
    <row r="28" spans="1:10" x14ac:dyDescent="0.25">
      <c r="A28" s="64"/>
      <c r="B28" s="65"/>
      <c r="C28" s="65"/>
      <c r="D28" s="65"/>
      <c r="E28" s="66"/>
      <c r="F28" s="66"/>
      <c r="G28" s="66"/>
      <c r="H28" s="66"/>
      <c r="I28" s="66"/>
      <c r="J28" s="65"/>
    </row>
    <row r="29" spans="1:10" x14ac:dyDescent="0.25">
      <c r="A29" s="64"/>
      <c r="B29" s="65"/>
      <c r="C29" s="65"/>
      <c r="D29" s="65"/>
      <c r="E29" s="66"/>
      <c r="F29" s="66"/>
      <c r="G29" s="66"/>
      <c r="H29" s="66"/>
      <c r="I29" s="66"/>
      <c r="J29" s="65"/>
    </row>
    <row r="30" spans="1:10" x14ac:dyDescent="0.25">
      <c r="A30" s="64"/>
      <c r="B30" s="65"/>
      <c r="C30" s="65"/>
      <c r="D30" s="65"/>
      <c r="E30" s="66"/>
      <c r="F30" s="66"/>
      <c r="G30" s="66"/>
      <c r="H30" s="66"/>
      <c r="I30" s="66"/>
      <c r="J30" s="65"/>
    </row>
    <row r="31" spans="1:10" x14ac:dyDescent="0.25">
      <c r="A31" s="64"/>
      <c r="B31" s="65"/>
      <c r="C31" s="65"/>
      <c r="D31" s="65"/>
      <c r="E31" s="66"/>
      <c r="F31" s="66"/>
      <c r="G31" s="66"/>
      <c r="H31" s="66"/>
      <c r="I31" s="66"/>
      <c r="J31" s="65"/>
    </row>
    <row r="32" spans="1:10" x14ac:dyDescent="0.25">
      <c r="A32" s="64"/>
      <c r="B32" s="65"/>
      <c r="C32" s="65"/>
      <c r="D32" s="65"/>
      <c r="E32" s="66"/>
      <c r="F32" s="66"/>
      <c r="G32" s="66"/>
      <c r="H32" s="66"/>
      <c r="I32" s="66"/>
      <c r="J32" s="65"/>
    </row>
    <row r="33" spans="1:10" x14ac:dyDescent="0.25">
      <c r="A33" s="64"/>
      <c r="B33" s="65"/>
      <c r="C33" s="65"/>
      <c r="D33" s="65"/>
      <c r="E33" s="66"/>
      <c r="F33" s="66"/>
      <c r="G33" s="66"/>
      <c r="H33" s="66"/>
      <c r="I33" s="66"/>
      <c r="J33" s="65"/>
    </row>
    <row r="34" spans="1:10" x14ac:dyDescent="0.25">
      <c r="A34" s="64"/>
      <c r="B34" s="65"/>
      <c r="C34" s="65"/>
      <c r="D34" s="65"/>
      <c r="E34" s="66"/>
      <c r="F34" s="66"/>
      <c r="G34" s="66"/>
      <c r="H34" s="66"/>
      <c r="I34" s="66"/>
      <c r="J34" s="65"/>
    </row>
    <row r="35" spans="1:10" x14ac:dyDescent="0.25">
      <c r="A35" s="64"/>
      <c r="B35" s="65"/>
      <c r="C35" s="65"/>
      <c r="D35" s="65"/>
      <c r="E35" s="66"/>
      <c r="F35" s="66"/>
      <c r="G35" s="66"/>
      <c r="H35" s="66"/>
      <c r="I35" s="66"/>
      <c r="J35" s="65"/>
    </row>
    <row r="36" spans="1:10" x14ac:dyDescent="0.25">
      <c r="A36" s="64"/>
      <c r="B36" s="65"/>
      <c r="C36" s="65"/>
      <c r="D36" s="65"/>
      <c r="E36" s="66"/>
      <c r="F36" s="66"/>
      <c r="G36" s="66"/>
      <c r="H36" s="66"/>
      <c r="I36" s="66"/>
      <c r="J36" s="65"/>
    </row>
    <row r="37" spans="1:10" x14ac:dyDescent="0.25">
      <c r="A37" s="64"/>
      <c r="B37" s="65"/>
      <c r="C37" s="65"/>
      <c r="D37" s="65"/>
      <c r="E37" s="66"/>
      <c r="F37" s="66"/>
      <c r="G37" s="66"/>
      <c r="H37" s="66"/>
      <c r="I37" s="66"/>
      <c r="J37" s="65"/>
    </row>
    <row r="38" spans="1:10" x14ac:dyDescent="0.25">
      <c r="A38" s="64"/>
      <c r="B38" s="65"/>
      <c r="C38" s="65"/>
      <c r="D38" s="65"/>
      <c r="E38" s="66"/>
      <c r="F38" s="66"/>
      <c r="G38" s="66"/>
      <c r="H38" s="66"/>
      <c r="I38" s="66"/>
      <c r="J38" s="65"/>
    </row>
    <row r="39" spans="1:10" x14ac:dyDescent="0.25">
      <c r="A39" s="64"/>
      <c r="B39" s="65"/>
      <c r="C39" s="65"/>
      <c r="D39" s="65"/>
      <c r="E39" s="66"/>
      <c r="F39" s="66"/>
      <c r="G39" s="66"/>
      <c r="H39" s="66"/>
      <c r="I39" s="66"/>
      <c r="J39" s="65"/>
    </row>
    <row r="40" spans="1:10" x14ac:dyDescent="0.25">
      <c r="A40" s="64"/>
      <c r="B40" s="65"/>
      <c r="C40" s="65"/>
      <c r="D40" s="65"/>
      <c r="E40" s="66"/>
      <c r="F40" s="66"/>
      <c r="G40" s="66"/>
      <c r="H40" s="66"/>
      <c r="I40" s="66"/>
      <c r="J40" s="65"/>
    </row>
    <row r="41" spans="1:10" x14ac:dyDescent="0.25">
      <c r="A41" s="64"/>
      <c r="B41" s="65"/>
      <c r="C41" s="65"/>
      <c r="D41" s="65"/>
      <c r="E41" s="66"/>
      <c r="F41" s="66"/>
      <c r="G41" s="66"/>
      <c r="H41" s="66"/>
      <c r="I41" s="66"/>
      <c r="J41" s="65"/>
    </row>
    <row r="42" spans="1:10" x14ac:dyDescent="0.25">
      <c r="A42" s="64"/>
      <c r="B42" s="65"/>
      <c r="C42" s="65"/>
      <c r="D42" s="65"/>
      <c r="E42" s="66"/>
      <c r="F42" s="66"/>
      <c r="G42" s="66"/>
      <c r="H42" s="66"/>
      <c r="I42" s="66"/>
      <c r="J42" s="65"/>
    </row>
    <row r="43" spans="1:10" x14ac:dyDescent="0.25">
      <c r="A43" s="64"/>
      <c r="B43" s="65"/>
      <c r="C43" s="65"/>
      <c r="D43" s="65"/>
      <c r="E43" s="66"/>
      <c r="F43" s="66"/>
      <c r="G43" s="66"/>
      <c r="H43" s="66"/>
      <c r="I43" s="66"/>
      <c r="J43" s="65"/>
    </row>
    <row r="44" spans="1:10" x14ac:dyDescent="0.25">
      <c r="A44" s="64"/>
      <c r="B44" s="65"/>
      <c r="C44" s="65"/>
      <c r="D44" s="65"/>
      <c r="E44" s="66"/>
      <c r="F44" s="66"/>
      <c r="G44" s="66"/>
      <c r="H44" s="66"/>
      <c r="I44" s="66"/>
      <c r="J44" s="65"/>
    </row>
    <row r="45" spans="1:10" x14ac:dyDescent="0.25">
      <c r="A45" s="64"/>
      <c r="B45" s="65"/>
      <c r="C45" s="65"/>
      <c r="D45" s="65"/>
      <c r="E45" s="66"/>
      <c r="F45" s="66"/>
      <c r="G45" s="66"/>
      <c r="H45" s="66"/>
      <c r="I45" s="66"/>
      <c r="J45" s="65"/>
    </row>
    <row r="46" spans="1:10" x14ac:dyDescent="0.25">
      <c r="A46" s="64"/>
      <c r="B46" s="65"/>
      <c r="C46" s="65"/>
      <c r="D46" s="65"/>
      <c r="E46" s="66"/>
      <c r="F46" s="66"/>
      <c r="G46" s="66"/>
      <c r="H46" s="66"/>
      <c r="I46" s="66"/>
      <c r="J46" s="65"/>
    </row>
    <row r="47" spans="1:10" x14ac:dyDescent="0.25">
      <c r="A47" s="64"/>
      <c r="B47" s="65"/>
      <c r="C47" s="65"/>
      <c r="D47" s="65"/>
      <c r="E47" s="66"/>
      <c r="F47" s="66"/>
      <c r="G47" s="66"/>
      <c r="H47" s="66"/>
      <c r="I47" s="66"/>
      <c r="J47" s="65"/>
    </row>
    <row r="48" spans="1:10" x14ac:dyDescent="0.25">
      <c r="A48" s="64"/>
      <c r="B48" s="65"/>
      <c r="C48" s="65"/>
      <c r="D48" s="65"/>
      <c r="E48" s="66"/>
      <c r="F48" s="66"/>
      <c r="G48" s="66"/>
      <c r="H48" s="66"/>
      <c r="I48" s="66"/>
      <c r="J48" s="65"/>
    </row>
    <row r="49" spans="1:10" x14ac:dyDescent="0.25">
      <c r="A49" s="64"/>
      <c r="B49" s="65"/>
      <c r="C49" s="65"/>
      <c r="D49" s="65"/>
      <c r="E49" s="66"/>
      <c r="F49" s="66"/>
      <c r="G49" s="66"/>
      <c r="H49" s="66"/>
      <c r="I49" s="66"/>
      <c r="J49" s="65"/>
    </row>
    <row r="50" spans="1:10" x14ac:dyDescent="0.25">
      <c r="A50" s="64"/>
      <c r="B50" s="65"/>
      <c r="C50" s="65"/>
      <c r="D50" s="65"/>
      <c r="E50" s="66"/>
      <c r="F50" s="66"/>
      <c r="G50" s="66"/>
      <c r="H50" s="66"/>
      <c r="I50" s="66"/>
      <c r="J50" s="65"/>
    </row>
    <row r="51" spans="1:10" x14ac:dyDescent="0.25">
      <c r="A51" s="64"/>
      <c r="B51" s="65"/>
      <c r="C51" s="65"/>
      <c r="D51" s="65"/>
      <c r="E51" s="66"/>
      <c r="F51" s="66"/>
      <c r="G51" s="66"/>
      <c r="H51" s="66"/>
      <c r="I51" s="66"/>
      <c r="J51" s="65"/>
    </row>
    <row r="52" spans="1:10" x14ac:dyDescent="0.25">
      <c r="A52" s="64"/>
      <c r="B52" s="65"/>
      <c r="C52" s="65"/>
      <c r="D52" s="65"/>
      <c r="E52" s="66"/>
      <c r="F52" s="66"/>
      <c r="G52" s="66"/>
      <c r="H52" s="66"/>
      <c r="I52" s="66"/>
      <c r="J52" s="65"/>
    </row>
    <row r="53" spans="1:10" x14ac:dyDescent="0.25">
      <c r="A53" s="64"/>
      <c r="B53" s="65"/>
      <c r="C53" s="65"/>
      <c r="D53" s="65"/>
      <c r="E53" s="66"/>
      <c r="F53" s="66"/>
      <c r="G53" s="66"/>
      <c r="H53" s="66"/>
      <c r="I53" s="66"/>
      <c r="J53" s="65"/>
    </row>
    <row r="54" spans="1:10" x14ac:dyDescent="0.25">
      <c r="A54" s="64"/>
      <c r="B54" s="65"/>
      <c r="C54" s="65"/>
      <c r="D54" s="65"/>
      <c r="E54" s="66"/>
      <c r="F54" s="66"/>
      <c r="G54" s="66"/>
      <c r="H54" s="66"/>
      <c r="I54" s="66"/>
      <c r="J54" s="65"/>
    </row>
    <row r="55" spans="1:10" x14ac:dyDescent="0.25">
      <c r="A55" s="64"/>
      <c r="B55" s="65"/>
      <c r="C55" s="65"/>
      <c r="D55" s="65"/>
      <c r="E55" s="66"/>
      <c r="F55" s="66"/>
      <c r="G55" s="66"/>
      <c r="H55" s="66"/>
      <c r="I55" s="66"/>
      <c r="J55" s="65"/>
    </row>
    <row r="56" spans="1:10" x14ac:dyDescent="0.25">
      <c r="A56" s="64"/>
      <c r="B56" s="65"/>
      <c r="C56" s="65"/>
      <c r="D56" s="65"/>
      <c r="E56" s="66"/>
      <c r="F56" s="66"/>
      <c r="G56" s="66"/>
      <c r="H56" s="66"/>
      <c r="I56" s="66"/>
      <c r="J56" s="65"/>
    </row>
    <row r="57" spans="1:10" x14ac:dyDescent="0.25">
      <c r="A57" s="64"/>
      <c r="B57" s="65"/>
      <c r="C57" s="65"/>
      <c r="D57" s="65"/>
      <c r="E57" s="66"/>
      <c r="F57" s="66"/>
      <c r="G57" s="66"/>
      <c r="H57" s="66"/>
      <c r="I57" s="66"/>
      <c r="J57" s="65"/>
    </row>
    <row r="58" spans="1:10" x14ac:dyDescent="0.25">
      <c r="A58" s="64"/>
      <c r="B58" s="65"/>
      <c r="C58" s="65"/>
      <c r="D58" s="65"/>
      <c r="E58" s="66"/>
      <c r="F58" s="66"/>
      <c r="G58" s="66"/>
      <c r="H58" s="66"/>
      <c r="I58" s="66"/>
      <c r="J58" s="65"/>
    </row>
    <row r="59" spans="1:10" x14ac:dyDescent="0.25">
      <c r="A59" s="64"/>
      <c r="B59" s="65"/>
      <c r="C59" s="65"/>
      <c r="D59" s="65"/>
      <c r="E59" s="66"/>
      <c r="F59" s="66"/>
      <c r="G59" s="66"/>
      <c r="H59" s="66"/>
      <c r="I59" s="66"/>
      <c r="J59" s="65"/>
    </row>
    <row r="60" spans="1:10" x14ac:dyDescent="0.25">
      <c r="A60" s="64"/>
      <c r="B60" s="65"/>
      <c r="C60" s="65"/>
      <c r="D60" s="65"/>
      <c r="E60" s="66"/>
      <c r="F60" s="66"/>
      <c r="G60" s="66"/>
      <c r="H60" s="66"/>
      <c r="I60" s="66"/>
      <c r="J60" s="65"/>
    </row>
    <row r="61" spans="1:10" x14ac:dyDescent="0.25">
      <c r="A61" s="64"/>
      <c r="B61" s="65"/>
      <c r="C61" s="65"/>
      <c r="D61" s="65"/>
      <c r="E61" s="66"/>
      <c r="F61" s="66"/>
      <c r="G61" s="66"/>
      <c r="H61" s="66"/>
      <c r="I61" s="66"/>
      <c r="J61" s="65"/>
    </row>
    <row r="62" spans="1:10" x14ac:dyDescent="0.25">
      <c r="A62" s="64"/>
      <c r="B62" s="65"/>
      <c r="C62" s="65"/>
      <c r="D62" s="65"/>
      <c r="E62" s="66"/>
      <c r="F62" s="66"/>
      <c r="G62" s="66"/>
      <c r="H62" s="66"/>
      <c r="I62" s="66"/>
      <c r="J62" s="65"/>
    </row>
    <row r="63" spans="1:10" x14ac:dyDescent="0.25">
      <c r="A63" s="64"/>
      <c r="B63" s="65"/>
      <c r="C63" s="65"/>
      <c r="D63" s="65"/>
      <c r="E63" s="66"/>
      <c r="F63" s="66"/>
      <c r="G63" s="66"/>
      <c r="H63" s="66"/>
      <c r="I63" s="66"/>
      <c r="J63" s="65"/>
    </row>
    <row r="64" spans="1:10" x14ac:dyDescent="0.25">
      <c r="A64" s="64"/>
      <c r="B64" s="65"/>
      <c r="C64" s="65"/>
      <c r="D64" s="65"/>
      <c r="E64" s="66"/>
      <c r="F64" s="66"/>
      <c r="G64" s="66"/>
      <c r="H64" s="66"/>
      <c r="I64" s="66"/>
      <c r="J64" s="65"/>
    </row>
    <row r="65" spans="1:10" x14ac:dyDescent="0.25">
      <c r="A65" s="64"/>
      <c r="B65" s="65"/>
      <c r="C65" s="65"/>
      <c r="D65" s="65"/>
      <c r="E65" s="66"/>
      <c r="F65" s="66"/>
      <c r="G65" s="66"/>
      <c r="H65" s="66"/>
      <c r="I65" s="66"/>
      <c r="J65" s="65"/>
    </row>
    <row r="66" spans="1:10" x14ac:dyDescent="0.25">
      <c r="A66" s="64"/>
      <c r="B66" s="65"/>
      <c r="C66" s="65"/>
      <c r="D66" s="65"/>
      <c r="E66" s="66"/>
      <c r="F66" s="66"/>
      <c r="G66" s="66"/>
      <c r="H66" s="66"/>
      <c r="I66" s="66"/>
      <c r="J66" s="65"/>
    </row>
    <row r="67" spans="1:10" x14ac:dyDescent="0.25">
      <c r="A67" s="64"/>
      <c r="B67" s="65"/>
      <c r="C67" s="65"/>
      <c r="D67" s="65"/>
      <c r="E67" s="66"/>
      <c r="F67" s="66"/>
      <c r="G67" s="66"/>
      <c r="H67" s="66"/>
      <c r="I67" s="66"/>
      <c r="J67" s="65"/>
    </row>
    <row r="68" spans="1:10" x14ac:dyDescent="0.25">
      <c r="A68" s="64"/>
      <c r="B68" s="65"/>
      <c r="C68" s="65"/>
      <c r="D68" s="65"/>
      <c r="E68" s="66"/>
      <c r="F68" s="66"/>
      <c r="G68" s="66"/>
      <c r="H68" s="66"/>
      <c r="I68" s="66"/>
      <c r="J68" s="65"/>
    </row>
    <row r="69" spans="1:10" x14ac:dyDescent="0.25">
      <c r="A69" s="64"/>
      <c r="B69" s="65"/>
      <c r="C69" s="65"/>
      <c r="D69" s="65"/>
      <c r="E69" s="66"/>
      <c r="F69" s="66"/>
      <c r="G69" s="66"/>
      <c r="H69" s="66"/>
      <c r="I69" s="66"/>
      <c r="J69" s="65"/>
    </row>
    <row r="70" spans="1:10" x14ac:dyDescent="0.25">
      <c r="A70" s="64"/>
      <c r="B70" s="65"/>
      <c r="C70" s="65"/>
      <c r="D70" s="65"/>
      <c r="E70" s="66"/>
      <c r="F70" s="66"/>
      <c r="G70" s="66"/>
      <c r="H70" s="66"/>
      <c r="I70" s="66"/>
      <c r="J70" s="65"/>
    </row>
    <row r="71" spans="1:10" x14ac:dyDescent="0.25">
      <c r="A71" s="64"/>
      <c r="B71" s="65"/>
      <c r="C71" s="65"/>
      <c r="D71" s="65"/>
      <c r="E71" s="66"/>
      <c r="F71" s="66"/>
      <c r="G71" s="66"/>
      <c r="H71" s="66"/>
      <c r="I71" s="66"/>
      <c r="J71" s="65"/>
    </row>
    <row r="72" spans="1:10" x14ac:dyDescent="0.25">
      <c r="A72" s="64"/>
      <c r="B72" s="65"/>
      <c r="C72" s="65"/>
      <c r="D72" s="65"/>
      <c r="E72" s="66"/>
      <c r="F72" s="66"/>
      <c r="G72" s="66"/>
      <c r="H72" s="66"/>
      <c r="I72" s="66"/>
      <c r="J72" s="65"/>
    </row>
    <row r="73" spans="1:10" x14ac:dyDescent="0.25">
      <c r="A73" s="64"/>
      <c r="B73" s="65"/>
      <c r="C73" s="65"/>
      <c r="D73" s="65"/>
      <c r="E73" s="66"/>
      <c r="F73" s="66"/>
      <c r="G73" s="66"/>
      <c r="H73" s="66"/>
      <c r="I73" s="66"/>
      <c r="J73" s="65"/>
    </row>
    <row r="74" spans="1:10" x14ac:dyDescent="0.25">
      <c r="A74" s="64"/>
      <c r="B74" s="65"/>
      <c r="C74" s="65"/>
      <c r="D74" s="65"/>
      <c r="E74" s="66"/>
      <c r="F74" s="66"/>
      <c r="G74" s="66"/>
      <c r="H74" s="66"/>
      <c r="I74" s="66"/>
      <c r="J74" s="65"/>
    </row>
    <row r="75" spans="1:10" x14ac:dyDescent="0.25">
      <c r="A75" s="64"/>
      <c r="B75" s="65"/>
      <c r="C75" s="65"/>
      <c r="D75" s="65"/>
      <c r="E75" s="66"/>
      <c r="F75" s="66"/>
      <c r="G75" s="66"/>
      <c r="H75" s="66"/>
      <c r="I75" s="66"/>
      <c r="J75" s="65"/>
    </row>
    <row r="76" spans="1:10" x14ac:dyDescent="0.25">
      <c r="A76" s="64"/>
      <c r="B76" s="65"/>
      <c r="C76" s="65"/>
      <c r="D76" s="65"/>
      <c r="E76" s="66"/>
      <c r="F76" s="66"/>
      <c r="G76" s="66"/>
      <c r="H76" s="66"/>
      <c r="I76" s="66"/>
      <c r="J76" s="65"/>
    </row>
    <row r="77" spans="1:10" x14ac:dyDescent="0.25">
      <c r="A77" s="64"/>
      <c r="B77" s="65"/>
      <c r="C77" s="65"/>
      <c r="D77" s="65"/>
      <c r="E77" s="66"/>
      <c r="F77" s="66"/>
      <c r="G77" s="66"/>
      <c r="H77" s="66"/>
      <c r="I77" s="66"/>
      <c r="J77" s="65"/>
    </row>
    <row r="78" spans="1:10" x14ac:dyDescent="0.25">
      <c r="A78" s="64"/>
      <c r="B78" s="65"/>
      <c r="C78" s="65"/>
      <c r="D78" s="65"/>
      <c r="E78" s="66"/>
      <c r="F78" s="66"/>
      <c r="G78" s="66"/>
      <c r="H78" s="66"/>
      <c r="I78" s="66"/>
      <c r="J78" s="65"/>
    </row>
    <row r="79" spans="1:10" x14ac:dyDescent="0.25">
      <c r="A79" s="64"/>
      <c r="B79" s="65"/>
      <c r="C79" s="65"/>
      <c r="D79" s="65"/>
      <c r="E79" s="66"/>
      <c r="F79" s="66"/>
      <c r="G79" s="66"/>
      <c r="H79" s="66"/>
      <c r="I79" s="66"/>
      <c r="J79" s="65"/>
    </row>
    <row r="80" spans="1:10" x14ac:dyDescent="0.25">
      <c r="A80" s="64"/>
      <c r="B80" s="65"/>
      <c r="C80" s="65"/>
      <c r="D80" s="65"/>
      <c r="E80" s="66"/>
      <c r="F80" s="66"/>
      <c r="G80" s="66"/>
      <c r="H80" s="66"/>
      <c r="I80" s="66"/>
      <c r="J80" s="65"/>
    </row>
    <row r="81" spans="1:10" x14ac:dyDescent="0.25">
      <c r="A81" s="64"/>
      <c r="B81" s="65"/>
      <c r="C81" s="65"/>
      <c r="D81" s="65"/>
      <c r="E81" s="66"/>
      <c r="F81" s="66"/>
      <c r="G81" s="66"/>
      <c r="H81" s="66"/>
      <c r="I81" s="66"/>
      <c r="J81" s="65"/>
    </row>
    <row r="82" spans="1:10" x14ac:dyDescent="0.25">
      <c r="A82" s="64"/>
      <c r="B82" s="65"/>
      <c r="C82" s="65"/>
      <c r="D82" s="65"/>
      <c r="E82" s="66"/>
      <c r="F82" s="66"/>
      <c r="G82" s="66"/>
      <c r="H82" s="66"/>
      <c r="I82" s="66"/>
      <c r="J82" s="65"/>
    </row>
    <row r="83" spans="1:10" x14ac:dyDescent="0.25">
      <c r="A83" s="64"/>
      <c r="B83" s="65"/>
      <c r="C83" s="65"/>
      <c r="D83" s="65"/>
      <c r="E83" s="66"/>
      <c r="F83" s="66"/>
      <c r="G83" s="66"/>
      <c r="H83" s="66"/>
      <c r="I83" s="66"/>
      <c r="J83" s="65"/>
    </row>
    <row r="84" spans="1:10" x14ac:dyDescent="0.25">
      <c r="A84" s="64"/>
      <c r="B84" s="65"/>
      <c r="C84" s="65"/>
      <c r="D84" s="65"/>
      <c r="E84" s="66"/>
      <c r="F84" s="66"/>
      <c r="G84" s="66"/>
      <c r="H84" s="66"/>
      <c r="I84" s="66"/>
      <c r="J84" s="65"/>
    </row>
    <row r="85" spans="1:10" x14ac:dyDescent="0.25">
      <c r="A85" s="64"/>
      <c r="B85" s="65"/>
      <c r="C85" s="65"/>
      <c r="D85" s="65"/>
      <c r="E85" s="66"/>
      <c r="F85" s="66"/>
      <c r="G85" s="66"/>
      <c r="H85" s="66"/>
      <c r="I85" s="66"/>
      <c r="J85" s="65"/>
    </row>
    <row r="86" spans="1:10" x14ac:dyDescent="0.25">
      <c r="A86" s="64"/>
      <c r="B86" s="65"/>
      <c r="C86" s="65"/>
      <c r="D86" s="65"/>
      <c r="E86" s="66"/>
      <c r="F86" s="66"/>
      <c r="G86" s="66"/>
      <c r="H86" s="66"/>
      <c r="I86" s="66"/>
      <c r="J86" s="65"/>
    </row>
    <row r="87" spans="1:10" x14ac:dyDescent="0.25">
      <c r="A87" s="64"/>
      <c r="B87" s="65"/>
      <c r="C87" s="65"/>
      <c r="D87" s="65"/>
      <c r="E87" s="66"/>
      <c r="F87" s="66"/>
      <c r="G87" s="66"/>
      <c r="H87" s="66"/>
      <c r="I87" s="66"/>
      <c r="J87" s="65"/>
    </row>
    <row r="88" spans="1:10" x14ac:dyDescent="0.25">
      <c r="A88" s="64"/>
      <c r="B88" s="65"/>
      <c r="C88" s="65"/>
      <c r="D88" s="65"/>
      <c r="E88" s="66"/>
      <c r="F88" s="66"/>
      <c r="G88" s="66"/>
      <c r="H88" s="66"/>
      <c r="I88" s="66"/>
      <c r="J88" s="65"/>
    </row>
    <row r="89" spans="1:10" x14ac:dyDescent="0.25">
      <c r="A89" s="64"/>
      <c r="B89" s="65"/>
      <c r="C89" s="65"/>
      <c r="D89" s="65"/>
      <c r="E89" s="66"/>
      <c r="F89" s="66"/>
      <c r="G89" s="66"/>
      <c r="H89" s="66"/>
      <c r="I89" s="66"/>
      <c r="J89" s="65"/>
    </row>
    <row r="90" spans="1:10" x14ac:dyDescent="0.25">
      <c r="A90" s="64"/>
      <c r="B90" s="65"/>
      <c r="C90" s="65"/>
      <c r="D90" s="65"/>
      <c r="E90" s="66"/>
      <c r="F90" s="66"/>
      <c r="G90" s="66"/>
      <c r="H90" s="66"/>
      <c r="I90" s="66"/>
      <c r="J90" s="65"/>
    </row>
    <row r="91" spans="1:10" x14ac:dyDescent="0.25">
      <c r="A91" s="64"/>
      <c r="B91" s="65"/>
      <c r="C91" s="65"/>
      <c r="D91" s="65"/>
      <c r="E91" s="66"/>
      <c r="F91" s="66"/>
      <c r="G91" s="66"/>
      <c r="H91" s="66"/>
      <c r="I91" s="66"/>
      <c r="J91" s="65"/>
    </row>
    <row r="92" spans="1:10" x14ac:dyDescent="0.25">
      <c r="A92" s="64"/>
      <c r="B92" s="65"/>
      <c r="C92" s="65"/>
      <c r="D92" s="65"/>
      <c r="E92" s="66"/>
      <c r="F92" s="66"/>
      <c r="G92" s="66"/>
      <c r="H92" s="66"/>
      <c r="I92" s="66"/>
      <c r="J92" s="65"/>
    </row>
    <row r="93" spans="1:10" x14ac:dyDescent="0.25">
      <c r="A93" s="64"/>
      <c r="B93" s="65"/>
      <c r="C93" s="65"/>
      <c r="D93" s="65"/>
      <c r="E93" s="66"/>
      <c r="F93" s="66"/>
      <c r="G93" s="66"/>
      <c r="H93" s="66"/>
      <c r="I93" s="66"/>
      <c r="J93" s="65"/>
    </row>
    <row r="94" spans="1:10" x14ac:dyDescent="0.25">
      <c r="A94" s="64"/>
      <c r="B94" s="65"/>
      <c r="C94" s="65"/>
      <c r="D94" s="65"/>
      <c r="E94" s="66"/>
      <c r="F94" s="66"/>
      <c r="G94" s="66"/>
      <c r="H94" s="66"/>
      <c r="I94" s="66"/>
      <c r="J94" s="65"/>
    </row>
    <row r="95" spans="1:10" x14ac:dyDescent="0.25">
      <c r="A95" s="64"/>
      <c r="B95" s="65"/>
      <c r="C95" s="65"/>
      <c r="D95" s="65"/>
      <c r="E95" s="66"/>
      <c r="F95" s="66"/>
      <c r="G95" s="66"/>
      <c r="H95" s="66"/>
      <c r="I95" s="66"/>
      <c r="J95" s="65"/>
    </row>
    <row r="96" spans="1:10" x14ac:dyDescent="0.25">
      <c r="A96" s="64"/>
      <c r="B96" s="65"/>
      <c r="C96" s="65"/>
      <c r="D96" s="65"/>
      <c r="E96" s="66"/>
      <c r="F96" s="66"/>
      <c r="G96" s="66"/>
      <c r="H96" s="66"/>
      <c r="I96" s="66"/>
      <c r="J96" s="65"/>
    </row>
    <row r="97" spans="1:10" x14ac:dyDescent="0.25">
      <c r="A97" s="64"/>
      <c r="B97" s="65"/>
      <c r="C97" s="65"/>
      <c r="D97" s="65"/>
      <c r="E97" s="66"/>
      <c r="F97" s="66"/>
      <c r="G97" s="66"/>
      <c r="H97" s="66"/>
      <c r="I97" s="66"/>
      <c r="J97" s="65"/>
    </row>
    <row r="98" spans="1:10" x14ac:dyDescent="0.25">
      <c r="A98" s="64"/>
      <c r="B98" s="65"/>
      <c r="C98" s="65"/>
      <c r="D98" s="65"/>
      <c r="E98" s="66"/>
      <c r="F98" s="66"/>
      <c r="G98" s="66"/>
      <c r="H98" s="66"/>
      <c r="I98" s="66"/>
      <c r="J98" s="65"/>
    </row>
    <row r="99" spans="1:10" x14ac:dyDescent="0.25">
      <c r="A99" s="64"/>
      <c r="B99" s="65"/>
      <c r="C99" s="65"/>
      <c r="D99" s="65"/>
      <c r="E99" s="66"/>
      <c r="F99" s="66"/>
      <c r="G99" s="66"/>
      <c r="H99" s="66"/>
      <c r="I99" s="66"/>
      <c r="J99" s="65"/>
    </row>
    <row r="100" spans="1:10" x14ac:dyDescent="0.25">
      <c r="A100" s="64"/>
      <c r="B100" s="65"/>
      <c r="C100" s="65"/>
      <c r="D100" s="65"/>
      <c r="E100" s="66"/>
      <c r="F100" s="66"/>
      <c r="G100" s="66"/>
      <c r="H100" s="66"/>
      <c r="I100" s="66"/>
      <c r="J100" s="65"/>
    </row>
    <row r="101" spans="1:10" x14ac:dyDescent="0.25">
      <c r="A101" s="64"/>
      <c r="B101" s="65"/>
      <c r="C101" s="65"/>
      <c r="D101" s="65"/>
      <c r="E101" s="66"/>
      <c r="F101" s="66"/>
      <c r="G101" s="66"/>
      <c r="H101" s="66"/>
      <c r="I101" s="66"/>
      <c r="J101" s="65"/>
    </row>
    <row r="102" spans="1:10" x14ac:dyDescent="0.25">
      <c r="A102" s="64"/>
      <c r="B102" s="65"/>
      <c r="C102" s="65"/>
      <c r="D102" s="65"/>
      <c r="E102" s="66"/>
      <c r="F102" s="66"/>
      <c r="G102" s="66"/>
      <c r="H102" s="66"/>
      <c r="I102" s="66"/>
      <c r="J102" s="65"/>
    </row>
    <row r="103" spans="1:10" x14ac:dyDescent="0.25">
      <c r="A103" s="64"/>
      <c r="B103" s="65"/>
      <c r="C103" s="65"/>
      <c r="D103" s="65"/>
      <c r="E103" s="66"/>
      <c r="F103" s="66"/>
      <c r="G103" s="66"/>
      <c r="H103" s="66"/>
      <c r="I103" s="66"/>
      <c r="J103" s="65"/>
    </row>
    <row r="104" spans="1:10" x14ac:dyDescent="0.25">
      <c r="A104" s="64"/>
      <c r="B104" s="65"/>
      <c r="C104" s="65"/>
      <c r="D104" s="65"/>
      <c r="E104" s="66"/>
      <c r="F104" s="66"/>
      <c r="G104" s="66"/>
      <c r="H104" s="66"/>
      <c r="I104" s="66"/>
      <c r="J104" s="65"/>
    </row>
    <row r="105" spans="1:10" x14ac:dyDescent="0.25">
      <c r="A105" s="64"/>
      <c r="B105" s="65"/>
      <c r="C105" s="65"/>
      <c r="D105" s="65"/>
      <c r="E105" s="66"/>
      <c r="F105" s="66"/>
      <c r="G105" s="66"/>
      <c r="H105" s="66"/>
      <c r="I105" s="66"/>
      <c r="J105" s="65"/>
    </row>
    <row r="106" spans="1:10" x14ac:dyDescent="0.25">
      <c r="A106" s="64"/>
      <c r="B106" s="65"/>
      <c r="C106" s="65"/>
      <c r="D106" s="65"/>
      <c r="E106" s="66"/>
      <c r="F106" s="66"/>
      <c r="G106" s="66"/>
      <c r="H106" s="66"/>
      <c r="I106" s="66"/>
      <c r="J106" s="65"/>
    </row>
    <row r="107" spans="1:10" x14ac:dyDescent="0.25">
      <c r="A107" s="64"/>
      <c r="B107" s="65"/>
      <c r="C107" s="65"/>
      <c r="D107" s="65"/>
      <c r="E107" s="66"/>
      <c r="F107" s="66"/>
      <c r="G107" s="66"/>
      <c r="H107" s="66"/>
      <c r="I107" s="66"/>
      <c r="J107" s="65"/>
    </row>
    <row r="108" spans="1:10" x14ac:dyDescent="0.25">
      <c r="A108" s="64"/>
      <c r="B108" s="65"/>
      <c r="C108" s="65"/>
      <c r="D108" s="65"/>
      <c r="E108" s="66"/>
      <c r="F108" s="66"/>
      <c r="G108" s="66"/>
      <c r="H108" s="66"/>
      <c r="I108" s="66"/>
      <c r="J108" s="65"/>
    </row>
    <row r="109" spans="1:10" x14ac:dyDescent="0.25">
      <c r="A109" s="64"/>
      <c r="B109" s="65"/>
      <c r="C109" s="65"/>
      <c r="D109" s="65"/>
      <c r="E109" s="66"/>
      <c r="F109" s="66"/>
      <c r="G109" s="66"/>
      <c r="H109" s="66"/>
      <c r="I109" s="66"/>
      <c r="J109" s="65"/>
    </row>
    <row r="110" spans="1:10" x14ac:dyDescent="0.25">
      <c r="A110" s="64"/>
      <c r="B110" s="65"/>
      <c r="C110" s="65"/>
      <c r="D110" s="65"/>
      <c r="E110" s="66"/>
      <c r="F110" s="66"/>
      <c r="G110" s="66"/>
      <c r="H110" s="66"/>
      <c r="I110" s="66"/>
      <c r="J110" s="65"/>
    </row>
    <row r="111" spans="1:10" x14ac:dyDescent="0.25">
      <c r="A111" s="64"/>
      <c r="B111" s="65"/>
      <c r="C111" s="65"/>
      <c r="D111" s="65"/>
      <c r="E111" s="66"/>
      <c r="F111" s="66"/>
      <c r="G111" s="66"/>
      <c r="H111" s="66"/>
      <c r="I111" s="66"/>
      <c r="J111" s="65"/>
    </row>
    <row r="112" spans="1:10" x14ac:dyDescent="0.25">
      <c r="A112" s="64"/>
      <c r="B112" s="65"/>
      <c r="C112" s="65"/>
      <c r="D112" s="65"/>
      <c r="E112" s="66"/>
      <c r="F112" s="66"/>
      <c r="G112" s="66"/>
      <c r="H112" s="66"/>
      <c r="I112" s="66"/>
      <c r="J112" s="65"/>
    </row>
    <row r="113" spans="1:10" x14ac:dyDescent="0.25">
      <c r="A113" s="64"/>
      <c r="B113" s="65"/>
      <c r="C113" s="65"/>
      <c r="D113" s="65"/>
      <c r="E113" s="66"/>
      <c r="F113" s="66"/>
      <c r="G113" s="66"/>
      <c r="H113" s="66"/>
      <c r="I113" s="66"/>
      <c r="J113" s="65"/>
    </row>
    <row r="114" spans="1:10" x14ac:dyDescent="0.25">
      <c r="A114" s="64"/>
      <c r="B114" s="65"/>
      <c r="C114" s="65"/>
      <c r="D114" s="65"/>
      <c r="E114" s="66"/>
      <c r="F114" s="66"/>
      <c r="G114" s="66"/>
      <c r="H114" s="66"/>
      <c r="I114" s="66"/>
      <c r="J114" s="65"/>
    </row>
    <row r="115" spans="1:10" x14ac:dyDescent="0.25">
      <c r="A115" s="64"/>
      <c r="B115" s="65"/>
      <c r="C115" s="65"/>
      <c r="D115" s="65"/>
      <c r="E115" s="66"/>
      <c r="F115" s="66"/>
      <c r="G115" s="66"/>
      <c r="H115" s="66"/>
      <c r="I115" s="66"/>
      <c r="J115" s="65"/>
    </row>
    <row r="116" spans="1:10" x14ac:dyDescent="0.25">
      <c r="A116" s="64"/>
      <c r="B116" s="65"/>
      <c r="C116" s="65"/>
      <c r="D116" s="65"/>
      <c r="E116" s="66"/>
      <c r="F116" s="66"/>
      <c r="G116" s="66"/>
      <c r="H116" s="66"/>
      <c r="I116" s="66"/>
      <c r="J116" s="65"/>
    </row>
    <row r="117" spans="1:10" x14ac:dyDescent="0.25">
      <c r="A117" s="64"/>
      <c r="B117" s="65"/>
      <c r="C117" s="65"/>
      <c r="D117" s="65"/>
      <c r="E117" s="66"/>
      <c r="F117" s="66"/>
      <c r="G117" s="66"/>
      <c r="H117" s="66"/>
      <c r="I117" s="66"/>
      <c r="J117" s="65"/>
    </row>
    <row r="118" spans="1:10" x14ac:dyDescent="0.25">
      <c r="A118" s="64"/>
      <c r="B118" s="65"/>
      <c r="C118" s="65"/>
      <c r="D118" s="65"/>
      <c r="E118" s="66"/>
      <c r="F118" s="66"/>
      <c r="G118" s="66"/>
      <c r="H118" s="66"/>
      <c r="I118" s="66"/>
      <c r="J118" s="65"/>
    </row>
    <row r="119" spans="1:10" x14ac:dyDescent="0.25">
      <c r="A119" s="64"/>
      <c r="B119" s="65"/>
      <c r="C119" s="65"/>
      <c r="D119" s="65"/>
      <c r="E119" s="66"/>
      <c r="F119" s="66"/>
      <c r="G119" s="66"/>
      <c r="H119" s="66"/>
      <c r="I119" s="66"/>
      <c r="J119" s="65"/>
    </row>
    <row r="120" spans="1:10" x14ac:dyDescent="0.25">
      <c r="A120" s="64"/>
      <c r="B120" s="65"/>
      <c r="C120" s="65"/>
      <c r="D120" s="65"/>
      <c r="E120" s="66"/>
      <c r="F120" s="66"/>
      <c r="G120" s="66"/>
      <c r="H120" s="66"/>
      <c r="I120" s="66"/>
      <c r="J120" s="65"/>
    </row>
    <row r="121" spans="1:10" x14ac:dyDescent="0.25">
      <c r="A121" s="64"/>
      <c r="B121" s="65"/>
      <c r="C121" s="65"/>
      <c r="D121" s="65"/>
      <c r="E121" s="66"/>
      <c r="F121" s="66"/>
      <c r="G121" s="66"/>
      <c r="H121" s="66"/>
      <c r="I121" s="66"/>
      <c r="J121" s="65"/>
    </row>
    <row r="122" spans="1:10" x14ac:dyDescent="0.25">
      <c r="A122" s="64"/>
      <c r="B122" s="65"/>
      <c r="C122" s="65"/>
      <c r="D122" s="65"/>
      <c r="E122" s="66"/>
      <c r="F122" s="66"/>
      <c r="G122" s="66"/>
      <c r="H122" s="66"/>
      <c r="I122" s="66"/>
      <c r="J122" s="65"/>
    </row>
    <row r="123" spans="1:10" x14ac:dyDescent="0.25">
      <c r="A123" s="64"/>
      <c r="B123" s="65"/>
      <c r="C123" s="65"/>
      <c r="D123" s="65"/>
      <c r="E123" s="66"/>
      <c r="F123" s="66"/>
      <c r="G123" s="66"/>
      <c r="H123" s="66"/>
      <c r="I123" s="66"/>
      <c r="J123" s="65"/>
    </row>
    <row r="124" spans="1:10" x14ac:dyDescent="0.25">
      <c r="A124" s="64"/>
      <c r="B124" s="65"/>
      <c r="C124" s="65"/>
      <c r="D124" s="65"/>
      <c r="E124" s="66"/>
      <c r="F124" s="66"/>
      <c r="G124" s="66"/>
      <c r="H124" s="66"/>
      <c r="I124" s="66"/>
      <c r="J124" s="65"/>
    </row>
    <row r="125" spans="1:10" x14ac:dyDescent="0.25">
      <c r="A125" s="64"/>
      <c r="B125" s="65"/>
      <c r="C125" s="65"/>
      <c r="D125" s="65"/>
      <c r="E125" s="66"/>
      <c r="F125" s="66"/>
      <c r="G125" s="66"/>
      <c r="H125" s="66"/>
      <c r="I125" s="66"/>
      <c r="J125" s="65"/>
    </row>
    <row r="126" spans="1:10" x14ac:dyDescent="0.25">
      <c r="A126" s="64"/>
      <c r="B126" s="65"/>
      <c r="C126" s="65"/>
      <c r="D126" s="65"/>
      <c r="E126" s="66"/>
      <c r="F126" s="66"/>
      <c r="G126" s="66"/>
      <c r="H126" s="66"/>
      <c r="I126" s="66"/>
      <c r="J126" s="65"/>
    </row>
    <row r="127" spans="1:10" x14ac:dyDescent="0.25">
      <c r="A127" s="64"/>
      <c r="B127" s="65"/>
      <c r="C127" s="65"/>
      <c r="D127" s="65"/>
      <c r="E127" s="66"/>
      <c r="F127" s="66"/>
      <c r="G127" s="66"/>
      <c r="H127" s="66"/>
      <c r="I127" s="66"/>
      <c r="J127" s="65"/>
    </row>
    <row r="128" spans="1:10" x14ac:dyDescent="0.25">
      <c r="A128" s="64"/>
      <c r="B128" s="65"/>
      <c r="C128" s="65"/>
      <c r="D128" s="65"/>
      <c r="E128" s="66"/>
      <c r="F128" s="66"/>
      <c r="G128" s="66"/>
      <c r="H128" s="66"/>
      <c r="I128" s="66"/>
      <c r="J128" s="65"/>
    </row>
    <row r="129" spans="1:10" x14ac:dyDescent="0.25">
      <c r="A129" s="64"/>
      <c r="B129" s="65"/>
      <c r="C129" s="65"/>
      <c r="D129" s="65"/>
      <c r="E129" s="66"/>
      <c r="F129" s="66"/>
      <c r="G129" s="66"/>
      <c r="H129" s="66"/>
      <c r="I129" s="66"/>
      <c r="J129" s="65"/>
    </row>
    <row r="130" spans="1:10" x14ac:dyDescent="0.25">
      <c r="A130" s="64"/>
      <c r="B130" s="65"/>
      <c r="C130" s="65"/>
      <c r="D130" s="65"/>
      <c r="E130" s="66"/>
      <c r="F130" s="66"/>
      <c r="G130" s="66"/>
      <c r="H130" s="66"/>
      <c r="I130" s="66"/>
      <c r="J130" s="65"/>
    </row>
    <row r="131" spans="1:10" x14ac:dyDescent="0.25">
      <c r="A131" s="64"/>
      <c r="B131" s="65"/>
      <c r="C131" s="65"/>
      <c r="D131" s="65"/>
      <c r="E131" s="66"/>
      <c r="F131" s="66"/>
      <c r="G131" s="66"/>
      <c r="H131" s="66"/>
      <c r="I131" s="66"/>
      <c r="J131" s="65"/>
    </row>
    <row r="132" spans="1:10" x14ac:dyDescent="0.25">
      <c r="A132" s="64"/>
      <c r="B132" s="65"/>
      <c r="C132" s="65"/>
      <c r="D132" s="65"/>
      <c r="E132" s="66"/>
      <c r="F132" s="66"/>
      <c r="G132" s="66"/>
      <c r="H132" s="66"/>
      <c r="I132" s="66"/>
      <c r="J132" s="65"/>
    </row>
    <row r="133" spans="1:10" x14ac:dyDescent="0.25">
      <c r="A133" s="64"/>
      <c r="B133" s="65"/>
      <c r="C133" s="65"/>
      <c r="D133" s="65"/>
      <c r="E133" s="66"/>
      <c r="F133" s="66"/>
      <c r="G133" s="66"/>
      <c r="H133" s="66"/>
      <c r="I133" s="66"/>
      <c r="J133" s="65"/>
    </row>
    <row r="134" spans="1:10" x14ac:dyDescent="0.25">
      <c r="A134" s="64"/>
      <c r="B134" s="65"/>
      <c r="C134" s="65"/>
      <c r="D134" s="65"/>
      <c r="E134" s="66"/>
      <c r="F134" s="66"/>
      <c r="G134" s="66"/>
      <c r="H134" s="66"/>
      <c r="I134" s="66"/>
      <c r="J134" s="65"/>
    </row>
    <row r="135" spans="1:10" x14ac:dyDescent="0.25">
      <c r="A135" s="64"/>
      <c r="B135" s="65"/>
      <c r="C135" s="65"/>
      <c r="D135" s="65"/>
      <c r="E135" s="66"/>
      <c r="F135" s="66"/>
      <c r="G135" s="66"/>
      <c r="H135" s="66"/>
      <c r="I135" s="66"/>
      <c r="J135" s="65"/>
    </row>
    <row r="136" spans="1:10" x14ac:dyDescent="0.25">
      <c r="A136" s="64"/>
      <c r="B136" s="65"/>
      <c r="C136" s="65"/>
      <c r="D136" s="65"/>
      <c r="E136" s="66"/>
      <c r="F136" s="66"/>
      <c r="G136" s="66"/>
      <c r="H136" s="66"/>
      <c r="I136" s="66"/>
      <c r="J136" s="65"/>
    </row>
    <row r="137" spans="1:10" x14ac:dyDescent="0.25">
      <c r="A137" s="64"/>
      <c r="B137" s="65"/>
      <c r="C137" s="65"/>
      <c r="D137" s="65"/>
      <c r="E137" s="66"/>
      <c r="F137" s="66"/>
      <c r="G137" s="66"/>
      <c r="H137" s="66"/>
      <c r="I137" s="66"/>
      <c r="J137" s="65"/>
    </row>
    <row r="138" spans="1:10" x14ac:dyDescent="0.25">
      <c r="A138" s="64"/>
      <c r="B138" s="65"/>
      <c r="C138" s="65"/>
      <c r="D138" s="65"/>
      <c r="E138" s="66"/>
      <c r="F138" s="66"/>
      <c r="G138" s="66"/>
      <c r="H138" s="66"/>
      <c r="I138" s="66"/>
      <c r="J138" s="65"/>
    </row>
    <row r="139" spans="1:10" x14ac:dyDescent="0.25">
      <c r="A139" s="64"/>
      <c r="B139" s="65"/>
      <c r="C139" s="65"/>
      <c r="D139" s="65"/>
      <c r="E139" s="66"/>
      <c r="F139" s="66"/>
      <c r="G139" s="66"/>
      <c r="H139" s="66"/>
      <c r="I139" s="66"/>
      <c r="J139" s="65"/>
    </row>
    <row r="140" spans="1:10" x14ac:dyDescent="0.25">
      <c r="A140" s="64"/>
      <c r="B140" s="65"/>
      <c r="C140" s="65"/>
      <c r="D140" s="65"/>
      <c r="E140" s="66"/>
      <c r="F140" s="66"/>
      <c r="G140" s="66"/>
      <c r="H140" s="66"/>
      <c r="I140" s="66"/>
      <c r="J140" s="65"/>
    </row>
    <row r="141" spans="1:10" x14ac:dyDescent="0.25">
      <c r="A141" s="64"/>
      <c r="B141" s="65"/>
      <c r="C141" s="65"/>
      <c r="D141" s="65"/>
      <c r="E141" s="66"/>
      <c r="F141" s="66"/>
      <c r="G141" s="66"/>
      <c r="H141" s="66"/>
      <c r="I141" s="66"/>
      <c r="J141" s="65"/>
    </row>
    <row r="142" spans="1:10" x14ac:dyDescent="0.25">
      <c r="A142" s="64"/>
      <c r="B142" s="65"/>
      <c r="C142" s="65"/>
      <c r="D142" s="65"/>
      <c r="E142" s="66"/>
      <c r="F142" s="66"/>
      <c r="G142" s="66"/>
      <c r="H142" s="66"/>
      <c r="I142" s="66"/>
      <c r="J142" s="65"/>
    </row>
    <row r="143" spans="1:10" x14ac:dyDescent="0.25">
      <c r="A143" s="64"/>
      <c r="B143" s="65"/>
      <c r="C143" s="65"/>
      <c r="D143" s="65"/>
      <c r="E143" s="66"/>
      <c r="F143" s="66"/>
      <c r="G143" s="66"/>
      <c r="H143" s="66"/>
      <c r="I143" s="66"/>
      <c r="J143" s="65"/>
    </row>
    <row r="144" spans="1:10" x14ac:dyDescent="0.25">
      <c r="A144" s="64"/>
      <c r="B144" s="65"/>
      <c r="C144" s="65"/>
      <c r="D144" s="65"/>
      <c r="E144" s="66"/>
      <c r="F144" s="66"/>
      <c r="G144" s="66"/>
      <c r="H144" s="66"/>
      <c r="I144" s="66"/>
      <c r="J144" s="65"/>
    </row>
    <row r="145" spans="1:10" x14ac:dyDescent="0.25">
      <c r="A145" s="64"/>
      <c r="B145" s="65"/>
      <c r="C145" s="65"/>
      <c r="D145" s="65"/>
      <c r="E145" s="66"/>
      <c r="F145" s="66"/>
      <c r="G145" s="66"/>
      <c r="H145" s="66"/>
      <c r="I145" s="66"/>
      <c r="J145" s="65"/>
    </row>
    <row r="146" spans="1:10" x14ac:dyDescent="0.25">
      <c r="A146" s="64"/>
      <c r="B146" s="65"/>
      <c r="C146" s="65"/>
      <c r="D146" s="65"/>
      <c r="E146" s="66"/>
      <c r="F146" s="66"/>
      <c r="G146" s="66"/>
      <c r="H146" s="66"/>
      <c r="I146" s="66"/>
      <c r="J146" s="65"/>
    </row>
    <row r="147" spans="1:10" x14ac:dyDescent="0.25">
      <c r="A147" s="64"/>
      <c r="B147" s="65"/>
      <c r="C147" s="65"/>
      <c r="D147" s="65"/>
      <c r="E147" s="66"/>
      <c r="F147" s="66"/>
      <c r="G147" s="66"/>
      <c r="H147" s="66"/>
      <c r="I147" s="66"/>
      <c r="J147" s="65"/>
    </row>
    <row r="148" spans="1:10" x14ac:dyDescent="0.25">
      <c r="A148" s="64"/>
      <c r="B148" s="65"/>
      <c r="C148" s="65"/>
      <c r="D148" s="65"/>
      <c r="E148" s="66"/>
      <c r="F148" s="66"/>
      <c r="G148" s="66"/>
      <c r="H148" s="66"/>
      <c r="I148" s="66"/>
      <c r="J148" s="65"/>
    </row>
    <row r="149" spans="1:10" x14ac:dyDescent="0.25">
      <c r="A149" s="64"/>
      <c r="B149" s="65"/>
      <c r="C149" s="65"/>
      <c r="D149" s="65"/>
      <c r="E149" s="66"/>
      <c r="F149" s="66"/>
      <c r="G149" s="66"/>
      <c r="H149" s="66"/>
      <c r="I149" s="66"/>
      <c r="J149" s="65"/>
    </row>
    <row r="150" spans="1:10" x14ac:dyDescent="0.25">
      <c r="A150" s="64"/>
      <c r="B150" s="65"/>
      <c r="C150" s="65"/>
      <c r="D150" s="65"/>
      <c r="E150" s="66"/>
      <c r="F150" s="66"/>
      <c r="G150" s="66"/>
      <c r="H150" s="66"/>
      <c r="I150" s="66"/>
      <c r="J150" s="65"/>
    </row>
    <row r="151" spans="1:10" x14ac:dyDescent="0.25">
      <c r="A151" s="64"/>
      <c r="B151" s="65"/>
      <c r="C151" s="65"/>
      <c r="D151" s="65"/>
      <c r="E151" s="66"/>
      <c r="F151" s="66"/>
      <c r="G151" s="66"/>
      <c r="H151" s="66"/>
      <c r="I151" s="66"/>
      <c r="J151" s="65"/>
    </row>
    <row r="152" spans="1:10" x14ac:dyDescent="0.25">
      <c r="A152" s="64"/>
      <c r="B152" s="65"/>
      <c r="C152" s="65"/>
      <c r="D152" s="65"/>
      <c r="E152" s="66"/>
      <c r="F152" s="66"/>
      <c r="G152" s="66"/>
      <c r="H152" s="66"/>
      <c r="I152" s="66"/>
      <c r="J152" s="65"/>
    </row>
    <row r="153" spans="1:10" x14ac:dyDescent="0.25">
      <c r="A153" s="64"/>
      <c r="B153" s="65"/>
      <c r="C153" s="65"/>
      <c r="D153" s="65"/>
      <c r="E153" s="66"/>
      <c r="F153" s="66"/>
      <c r="G153" s="66"/>
      <c r="H153" s="66"/>
      <c r="I153" s="66"/>
      <c r="J153" s="65"/>
    </row>
    <row r="154" spans="1:10" x14ac:dyDescent="0.25">
      <c r="A154" s="64"/>
      <c r="B154" s="65"/>
      <c r="C154" s="65"/>
      <c r="D154" s="65"/>
      <c r="E154" s="66"/>
      <c r="F154" s="66"/>
      <c r="G154" s="66"/>
      <c r="H154" s="66"/>
      <c r="I154" s="66"/>
      <c r="J154" s="65"/>
    </row>
    <row r="155" spans="1:10" x14ac:dyDescent="0.25">
      <c r="A155" s="64"/>
      <c r="B155" s="65"/>
      <c r="C155" s="65"/>
      <c r="D155" s="65"/>
      <c r="E155" s="66"/>
      <c r="F155" s="66"/>
      <c r="G155" s="66"/>
      <c r="H155" s="66"/>
      <c r="I155" s="66"/>
      <c r="J155" s="65"/>
    </row>
    <row r="156" spans="1:10" x14ac:dyDescent="0.25">
      <c r="A156" s="64"/>
      <c r="B156" s="65"/>
      <c r="C156" s="65"/>
      <c r="D156" s="65"/>
      <c r="E156" s="66"/>
      <c r="F156" s="66"/>
      <c r="G156" s="66"/>
      <c r="H156" s="66"/>
      <c r="I156" s="66"/>
      <c r="J156" s="65"/>
    </row>
    <row r="157" spans="1:10" x14ac:dyDescent="0.25">
      <c r="A157" s="64"/>
      <c r="B157" s="65"/>
      <c r="C157" s="65"/>
      <c r="D157" s="65"/>
      <c r="E157" s="66"/>
      <c r="F157" s="66"/>
      <c r="G157" s="66"/>
      <c r="H157" s="66"/>
      <c r="I157" s="66"/>
      <c r="J157" s="65"/>
    </row>
    <row r="158" spans="1:10" x14ac:dyDescent="0.25">
      <c r="A158" s="64"/>
      <c r="B158" s="65"/>
      <c r="C158" s="65"/>
      <c r="D158" s="65"/>
      <c r="E158" s="66"/>
      <c r="F158" s="66"/>
      <c r="G158" s="66"/>
      <c r="H158" s="66"/>
      <c r="I158" s="66"/>
      <c r="J158" s="65"/>
    </row>
    <row r="159" spans="1:10" x14ac:dyDescent="0.25">
      <c r="A159" s="64"/>
      <c r="B159" s="65"/>
      <c r="C159" s="65"/>
      <c r="D159" s="65"/>
      <c r="E159" s="66"/>
      <c r="F159" s="66"/>
      <c r="G159" s="66"/>
      <c r="H159" s="66"/>
      <c r="I159" s="66"/>
      <c r="J159" s="65"/>
    </row>
    <row r="160" spans="1:10" x14ac:dyDescent="0.25">
      <c r="A160" s="64"/>
      <c r="B160" s="65"/>
      <c r="C160" s="65"/>
      <c r="D160" s="65"/>
      <c r="E160" s="66"/>
      <c r="F160" s="66"/>
      <c r="G160" s="66"/>
      <c r="H160" s="66"/>
      <c r="I160" s="66"/>
      <c r="J160" s="65"/>
    </row>
    <row r="161" spans="1:10" x14ac:dyDescent="0.25">
      <c r="A161" s="64"/>
      <c r="B161" s="65"/>
      <c r="C161" s="65"/>
      <c r="D161" s="65"/>
      <c r="E161" s="66"/>
      <c r="F161" s="66"/>
      <c r="G161" s="66"/>
      <c r="H161" s="66"/>
      <c r="I161" s="66"/>
      <c r="J161" s="65"/>
    </row>
    <row r="162" spans="1:10" x14ac:dyDescent="0.25">
      <c r="A162" s="64"/>
      <c r="B162" s="65"/>
      <c r="C162" s="65"/>
      <c r="D162" s="65"/>
      <c r="E162" s="66"/>
      <c r="F162" s="66"/>
      <c r="G162" s="66"/>
      <c r="H162" s="66"/>
      <c r="I162" s="66"/>
      <c r="J162" s="65"/>
    </row>
    <row r="163" spans="1:10" x14ac:dyDescent="0.25">
      <c r="A163" s="64"/>
      <c r="B163" s="65"/>
      <c r="C163" s="65"/>
      <c r="D163" s="65"/>
      <c r="E163" s="66"/>
      <c r="F163" s="66"/>
      <c r="G163" s="66"/>
      <c r="H163" s="66"/>
      <c r="I163" s="66"/>
      <c r="J163" s="65"/>
    </row>
    <row r="164" spans="1:10" x14ac:dyDescent="0.25">
      <c r="A164" s="64"/>
      <c r="B164" s="65"/>
      <c r="C164" s="65"/>
      <c r="D164" s="65"/>
      <c r="E164" s="66"/>
      <c r="F164" s="66"/>
      <c r="G164" s="66"/>
      <c r="H164" s="66"/>
      <c r="I164" s="66"/>
      <c r="J164" s="65"/>
    </row>
    <row r="165" spans="1:10" x14ac:dyDescent="0.25">
      <c r="A165" s="64"/>
      <c r="B165" s="65"/>
      <c r="C165" s="65"/>
      <c r="D165" s="65"/>
      <c r="E165" s="66"/>
      <c r="F165" s="66"/>
      <c r="G165" s="66"/>
      <c r="H165" s="66"/>
      <c r="I165" s="66"/>
      <c r="J165" s="65"/>
    </row>
    <row r="166" spans="1:10" x14ac:dyDescent="0.25">
      <c r="A166" s="64"/>
      <c r="B166" s="65"/>
      <c r="C166" s="65"/>
      <c r="D166" s="65"/>
      <c r="E166" s="66"/>
      <c r="F166" s="66"/>
      <c r="G166" s="66"/>
      <c r="H166" s="66"/>
      <c r="I166" s="66"/>
      <c r="J166" s="65"/>
    </row>
    <row r="167" spans="1:10" x14ac:dyDescent="0.25">
      <c r="A167" s="64"/>
      <c r="B167" s="65"/>
      <c r="C167" s="65"/>
      <c r="D167" s="65"/>
      <c r="E167" s="66"/>
      <c r="F167" s="66"/>
      <c r="G167" s="66"/>
      <c r="H167" s="66"/>
      <c r="I167" s="66"/>
      <c r="J167" s="65"/>
    </row>
    <row r="168" spans="1:10" x14ac:dyDescent="0.25">
      <c r="A168" s="64"/>
      <c r="B168" s="65"/>
      <c r="C168" s="65"/>
      <c r="D168" s="65"/>
      <c r="E168" s="66"/>
      <c r="F168" s="66"/>
      <c r="G168" s="66"/>
      <c r="H168" s="66"/>
      <c r="I168" s="66"/>
      <c r="J168" s="65"/>
    </row>
    <row r="169" spans="1:10" x14ac:dyDescent="0.25">
      <c r="A169" s="64"/>
      <c r="B169" s="65"/>
      <c r="C169" s="65"/>
      <c r="D169" s="65"/>
      <c r="E169" s="66"/>
      <c r="F169" s="66"/>
      <c r="G169" s="66"/>
      <c r="H169" s="66"/>
      <c r="I169" s="66"/>
      <c r="J169" s="65"/>
    </row>
    <row r="170" spans="1:10" x14ac:dyDescent="0.25">
      <c r="A170" s="64"/>
      <c r="B170" s="65"/>
      <c r="C170" s="65"/>
      <c r="D170" s="65"/>
      <c r="E170" s="66"/>
      <c r="F170" s="66"/>
      <c r="G170" s="66"/>
      <c r="H170" s="66"/>
      <c r="I170" s="66"/>
      <c r="J170" s="65"/>
    </row>
    <row r="171" spans="1:10" x14ac:dyDescent="0.25">
      <c r="A171" s="64"/>
      <c r="B171" s="65"/>
      <c r="C171" s="65"/>
      <c r="D171" s="65"/>
      <c r="E171" s="66"/>
      <c r="F171" s="66"/>
      <c r="G171" s="66"/>
      <c r="H171" s="66"/>
      <c r="I171" s="66"/>
      <c r="J171" s="65"/>
    </row>
    <row r="172" spans="1:10" x14ac:dyDescent="0.25">
      <c r="A172" s="64"/>
      <c r="B172" s="65"/>
      <c r="C172" s="65"/>
      <c r="D172" s="65"/>
      <c r="E172" s="66"/>
      <c r="F172" s="66"/>
      <c r="G172" s="66"/>
      <c r="H172" s="66"/>
      <c r="I172" s="66"/>
      <c r="J172" s="65"/>
    </row>
    <row r="173" spans="1:10" x14ac:dyDescent="0.25">
      <c r="A173" s="64"/>
      <c r="B173" s="65"/>
      <c r="C173" s="65"/>
      <c r="D173" s="65"/>
      <c r="E173" s="66"/>
      <c r="F173" s="66"/>
      <c r="G173" s="66"/>
      <c r="H173" s="66"/>
      <c r="I173" s="66"/>
      <c r="J173" s="65"/>
    </row>
    <row r="174" spans="1:10" x14ac:dyDescent="0.25">
      <c r="A174" s="64"/>
      <c r="B174" s="65"/>
      <c r="C174" s="65"/>
      <c r="D174" s="65"/>
      <c r="E174" s="66"/>
      <c r="F174" s="66"/>
      <c r="G174" s="66"/>
      <c r="H174" s="66"/>
      <c r="I174" s="66"/>
      <c r="J174" s="65"/>
    </row>
    <row r="175" spans="1:10" x14ac:dyDescent="0.25">
      <c r="A175" s="64"/>
      <c r="B175" s="65"/>
      <c r="C175" s="65"/>
      <c r="D175" s="65"/>
      <c r="E175" s="66"/>
      <c r="F175" s="66"/>
      <c r="G175" s="66"/>
      <c r="H175" s="66"/>
      <c r="I175" s="66"/>
      <c r="J175" s="65"/>
    </row>
    <row r="176" spans="1:10" x14ac:dyDescent="0.25">
      <c r="A176" s="64"/>
      <c r="B176" s="65"/>
      <c r="C176" s="65"/>
      <c r="D176" s="65"/>
      <c r="E176" s="66"/>
      <c r="F176" s="66"/>
      <c r="G176" s="66"/>
      <c r="H176" s="66"/>
      <c r="I176" s="66"/>
      <c r="J176" s="65"/>
    </row>
    <row r="177" spans="1:10" x14ac:dyDescent="0.25">
      <c r="A177" s="64"/>
      <c r="B177" s="65"/>
      <c r="C177" s="65"/>
      <c r="D177" s="65"/>
      <c r="E177" s="66"/>
      <c r="F177" s="66"/>
      <c r="G177" s="66"/>
      <c r="H177" s="66"/>
      <c r="I177" s="66"/>
      <c r="J177" s="65"/>
    </row>
    <row r="178" spans="1:10" x14ac:dyDescent="0.25">
      <c r="A178" s="64"/>
      <c r="B178" s="65"/>
      <c r="C178" s="65"/>
      <c r="D178" s="65"/>
      <c r="E178" s="66"/>
      <c r="F178" s="66"/>
      <c r="G178" s="66"/>
      <c r="H178" s="66"/>
      <c r="I178" s="66"/>
      <c r="J178" s="65"/>
    </row>
    <row r="179" spans="1:10" x14ac:dyDescent="0.25">
      <c r="A179" s="64"/>
      <c r="B179" s="65"/>
      <c r="C179" s="65"/>
      <c r="D179" s="65"/>
      <c r="E179" s="66"/>
      <c r="F179" s="66"/>
      <c r="G179" s="66"/>
      <c r="H179" s="66"/>
      <c r="I179" s="66"/>
      <c r="J179" s="65"/>
    </row>
    <row r="180" spans="1:10" x14ac:dyDescent="0.25">
      <c r="A180" s="64"/>
      <c r="B180" s="65"/>
      <c r="C180" s="65"/>
      <c r="D180" s="65"/>
      <c r="E180" s="66"/>
      <c r="F180" s="66"/>
      <c r="G180" s="66"/>
      <c r="H180" s="66"/>
      <c r="I180" s="66"/>
      <c r="J180" s="65"/>
    </row>
    <row r="181" spans="1:10" x14ac:dyDescent="0.25">
      <c r="A181" s="64"/>
      <c r="B181" s="65"/>
      <c r="C181" s="65"/>
      <c r="D181" s="65"/>
      <c r="E181" s="66"/>
      <c r="F181" s="66"/>
      <c r="G181" s="66"/>
      <c r="H181" s="66"/>
      <c r="I181" s="66"/>
      <c r="J181" s="65"/>
    </row>
    <row r="182" spans="1:10" x14ac:dyDescent="0.25">
      <c r="A182" s="64"/>
      <c r="B182" s="65"/>
      <c r="C182" s="65"/>
      <c r="D182" s="65"/>
      <c r="E182" s="66"/>
      <c r="F182" s="66"/>
      <c r="G182" s="66"/>
      <c r="H182" s="66"/>
      <c r="I182" s="66"/>
      <c r="J182" s="65"/>
    </row>
    <row r="183" spans="1:10" x14ac:dyDescent="0.25">
      <c r="A183" s="64"/>
      <c r="B183" s="65"/>
      <c r="C183" s="65"/>
      <c r="D183" s="65"/>
      <c r="E183" s="66"/>
      <c r="F183" s="66"/>
      <c r="G183" s="66"/>
      <c r="H183" s="66"/>
      <c r="I183" s="66"/>
      <c r="J183" s="65"/>
    </row>
    <row r="184" spans="1:10" x14ac:dyDescent="0.25">
      <c r="A184" s="64"/>
      <c r="B184" s="65"/>
      <c r="C184" s="65"/>
      <c r="D184" s="65"/>
      <c r="E184" s="66"/>
      <c r="F184" s="66"/>
      <c r="G184" s="66"/>
      <c r="H184" s="66"/>
      <c r="I184" s="66"/>
      <c r="J184" s="65"/>
    </row>
    <row r="185" spans="1:10" x14ac:dyDescent="0.25">
      <c r="A185" s="64"/>
      <c r="B185" s="65"/>
      <c r="C185" s="65"/>
      <c r="D185" s="65"/>
      <c r="E185" s="66"/>
      <c r="F185" s="66"/>
      <c r="G185" s="66"/>
      <c r="H185" s="66"/>
      <c r="I185" s="66"/>
      <c r="J185" s="65"/>
    </row>
    <row r="186" spans="1:10" x14ac:dyDescent="0.25">
      <c r="A186" s="64"/>
      <c r="B186" s="65"/>
      <c r="C186" s="65"/>
      <c r="D186" s="65"/>
      <c r="E186" s="66"/>
      <c r="F186" s="66"/>
      <c r="G186" s="66"/>
      <c r="H186" s="66"/>
      <c r="I186" s="66"/>
      <c r="J186" s="65"/>
    </row>
    <row r="187" spans="1:10" x14ac:dyDescent="0.25">
      <c r="A187" s="64"/>
      <c r="B187" s="65"/>
      <c r="C187" s="65"/>
      <c r="D187" s="65"/>
      <c r="E187" s="66"/>
      <c r="F187" s="66"/>
      <c r="G187" s="66"/>
      <c r="H187" s="66"/>
      <c r="I187" s="66"/>
      <c r="J187" s="65"/>
    </row>
    <row r="188" spans="1:10" x14ac:dyDescent="0.25">
      <c r="A188" s="64"/>
      <c r="B188" s="65"/>
      <c r="C188" s="65"/>
      <c r="D188" s="65"/>
      <c r="E188" s="66"/>
      <c r="F188" s="66"/>
      <c r="G188" s="66"/>
      <c r="H188" s="66"/>
      <c r="I188" s="66"/>
      <c r="J188" s="65"/>
    </row>
    <row r="189" spans="1:10" x14ac:dyDescent="0.25">
      <c r="A189" s="64"/>
      <c r="B189" s="65"/>
      <c r="C189" s="65"/>
      <c r="D189" s="65"/>
      <c r="E189" s="66"/>
      <c r="F189" s="66"/>
      <c r="G189" s="66"/>
      <c r="H189" s="66"/>
      <c r="I189" s="66"/>
      <c r="J189" s="65"/>
    </row>
    <row r="190" spans="1:10" x14ac:dyDescent="0.25">
      <c r="A190" s="64"/>
      <c r="B190" s="65"/>
      <c r="C190" s="65"/>
      <c r="D190" s="65"/>
      <c r="E190" s="66"/>
      <c r="F190" s="66"/>
      <c r="G190" s="66"/>
      <c r="H190" s="66"/>
      <c r="I190" s="66"/>
      <c r="J190" s="65"/>
    </row>
    <row r="191" spans="1:10" x14ac:dyDescent="0.25">
      <c r="A191" s="64"/>
      <c r="B191" s="65"/>
      <c r="C191" s="65"/>
      <c r="D191" s="65"/>
      <c r="E191" s="66"/>
      <c r="F191" s="66"/>
      <c r="G191" s="66"/>
      <c r="H191" s="66"/>
      <c r="I191" s="66"/>
      <c r="J191" s="65"/>
    </row>
    <row r="192" spans="1:10" x14ac:dyDescent="0.25">
      <c r="A192" s="64"/>
      <c r="B192" s="65"/>
      <c r="C192" s="65"/>
      <c r="D192" s="65"/>
      <c r="E192" s="66"/>
      <c r="F192" s="66"/>
      <c r="G192" s="66"/>
      <c r="H192" s="66"/>
      <c r="I192" s="66"/>
      <c r="J192" s="65"/>
    </row>
    <row r="193" spans="1:10" x14ac:dyDescent="0.25">
      <c r="A193" s="64"/>
      <c r="B193" s="65"/>
      <c r="C193" s="65"/>
      <c r="D193" s="65"/>
      <c r="E193" s="66"/>
      <c r="F193" s="66"/>
      <c r="G193" s="66"/>
      <c r="H193" s="66"/>
      <c r="I193" s="66"/>
      <c r="J193" s="65"/>
    </row>
    <row r="194" spans="1:10" x14ac:dyDescent="0.25">
      <c r="A194" s="64"/>
      <c r="B194" s="65"/>
      <c r="C194" s="65"/>
      <c r="D194" s="65"/>
      <c r="E194" s="66"/>
      <c r="F194" s="66"/>
      <c r="G194" s="66"/>
      <c r="H194" s="66"/>
      <c r="I194" s="66"/>
      <c r="J194" s="65"/>
    </row>
    <row r="195" spans="1:10" x14ac:dyDescent="0.25">
      <c r="A195" s="64"/>
      <c r="B195" s="65"/>
      <c r="C195" s="65"/>
      <c r="D195" s="65"/>
      <c r="E195" s="66"/>
      <c r="F195" s="66"/>
      <c r="G195" s="66"/>
      <c r="H195" s="66"/>
      <c r="I195" s="66"/>
      <c r="J195" s="65"/>
    </row>
    <row r="196" spans="1:10" x14ac:dyDescent="0.25">
      <c r="A196" s="64"/>
      <c r="B196" s="65"/>
      <c r="C196" s="65"/>
      <c r="D196" s="65"/>
      <c r="E196" s="66"/>
      <c r="F196" s="66"/>
      <c r="G196" s="66"/>
      <c r="H196" s="66"/>
      <c r="I196" s="66"/>
      <c r="J196" s="65"/>
    </row>
    <row r="197" spans="1:10" x14ac:dyDescent="0.25">
      <c r="A197" s="64"/>
      <c r="B197" s="65"/>
      <c r="C197" s="65"/>
      <c r="D197" s="65"/>
      <c r="E197" s="66"/>
      <c r="F197" s="66"/>
      <c r="G197" s="66"/>
      <c r="H197" s="66"/>
      <c r="I197" s="66"/>
      <c r="J197" s="65"/>
    </row>
    <row r="198" spans="1:10" x14ac:dyDescent="0.25">
      <c r="A198" s="64"/>
      <c r="B198" s="65"/>
      <c r="C198" s="65"/>
      <c r="D198" s="65"/>
      <c r="E198" s="66"/>
      <c r="F198" s="66"/>
      <c r="G198" s="66"/>
      <c r="H198" s="66"/>
      <c r="I198" s="66"/>
      <c r="J198" s="65"/>
    </row>
    <row r="199" spans="1:10" x14ac:dyDescent="0.25">
      <c r="A199" s="64"/>
      <c r="B199" s="65"/>
      <c r="C199" s="65"/>
      <c r="D199" s="65"/>
      <c r="E199" s="66"/>
      <c r="F199" s="66"/>
      <c r="G199" s="66"/>
      <c r="H199" s="66"/>
      <c r="I199" s="66"/>
      <c r="J199" s="65"/>
    </row>
    <row r="200" spans="1:10" x14ac:dyDescent="0.25">
      <c r="A200" s="64"/>
      <c r="B200" s="65"/>
      <c r="C200" s="65"/>
      <c r="D200" s="65"/>
      <c r="E200" s="66"/>
      <c r="F200" s="66"/>
      <c r="G200" s="66"/>
      <c r="H200" s="66"/>
      <c r="I200" s="66"/>
      <c r="J200" s="65"/>
    </row>
    <row r="201" spans="1:10" x14ac:dyDescent="0.25">
      <c r="A201" s="64"/>
      <c r="B201" s="65"/>
      <c r="C201" s="65"/>
      <c r="D201" s="65"/>
      <c r="E201" s="66"/>
      <c r="F201" s="66"/>
      <c r="G201" s="66"/>
      <c r="H201" s="66"/>
      <c r="I201" s="66"/>
      <c r="J201" s="6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1"/>
  <sheetViews>
    <sheetView showGridLines="0" workbookViewId="0">
      <pane ySplit="1" topLeftCell="A2" activePane="bottomLeft" state="frozen"/>
      <selection pane="bottomLeft" activeCell="F24" sqref="F24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2" customWidth="1"/>
    <col min="4" max="4" width="16" customWidth="1"/>
    <col min="5" max="5" width="12" customWidth="1"/>
    <col min="6" max="6" width="16" customWidth="1"/>
    <col min="7" max="7" width="23" customWidth="1"/>
    <col min="8" max="9" width="12" customWidth="1"/>
    <col min="10" max="11" width="13" customWidth="1"/>
    <col min="12" max="12" width="19" customWidth="1"/>
    <col min="13" max="13" width="17" customWidth="1"/>
    <col min="14" max="14" width="24" customWidth="1"/>
  </cols>
  <sheetData>
    <row r="1" spans="1:14" ht="31.95" customHeight="1" x14ac:dyDescent="0.3">
      <c r="A1" s="19" t="s">
        <v>316</v>
      </c>
      <c r="B1" s="19" t="s">
        <v>317</v>
      </c>
      <c r="C1" s="19" t="s">
        <v>318</v>
      </c>
      <c r="D1" s="19" t="s">
        <v>319</v>
      </c>
      <c r="E1" s="19" t="s">
        <v>320</v>
      </c>
      <c r="F1" s="19" t="s">
        <v>321</v>
      </c>
      <c r="G1" s="19" t="s">
        <v>322</v>
      </c>
      <c r="H1" s="19" t="s">
        <v>323</v>
      </c>
      <c r="I1" s="19" t="s">
        <v>3</v>
      </c>
      <c r="J1" s="19" t="s">
        <v>4</v>
      </c>
      <c r="K1" s="19" t="s">
        <v>6</v>
      </c>
      <c r="L1" s="19" t="s">
        <v>324</v>
      </c>
      <c r="M1" s="19" t="s">
        <v>8</v>
      </c>
      <c r="N1" s="19" t="s">
        <v>228</v>
      </c>
    </row>
    <row r="2" spans="1:14" x14ac:dyDescent="0.3">
      <c r="A2" s="28" t="s">
        <v>325</v>
      </c>
      <c r="B2" s="28" t="s">
        <v>326</v>
      </c>
      <c r="C2" s="28" t="s">
        <v>209</v>
      </c>
      <c r="D2" s="28"/>
      <c r="E2" s="3"/>
      <c r="F2" s="21">
        <v>500000</v>
      </c>
      <c r="G2" s="21">
        <v>125000</v>
      </c>
      <c r="H2" s="2"/>
      <c r="I2" s="2"/>
      <c r="J2" s="2"/>
      <c r="K2" s="2"/>
      <c r="L2" s="2"/>
      <c r="M2" s="2"/>
      <c r="N2" s="28" t="s">
        <v>327</v>
      </c>
    </row>
    <row r="3" spans="1:14" x14ac:dyDescent="0.3">
      <c r="A3" s="29" t="s">
        <v>328</v>
      </c>
      <c r="B3" s="29" t="s">
        <v>329</v>
      </c>
      <c r="C3" s="29" t="s">
        <v>209</v>
      </c>
      <c r="D3" s="29"/>
      <c r="E3" s="3"/>
      <c r="F3" s="6">
        <v>500000</v>
      </c>
      <c r="G3" s="6">
        <v>125000</v>
      </c>
      <c r="H3" s="2"/>
      <c r="I3" s="2"/>
      <c r="J3" s="2"/>
      <c r="K3" s="2"/>
      <c r="L3" s="2"/>
      <c r="M3" s="2"/>
      <c r="N3" s="29" t="s">
        <v>327</v>
      </c>
    </row>
    <row r="4" spans="1:14" x14ac:dyDescent="0.3">
      <c r="A4" s="28" t="s">
        <v>330</v>
      </c>
      <c r="B4" s="28" t="s">
        <v>331</v>
      </c>
      <c r="C4" s="28" t="s">
        <v>209</v>
      </c>
      <c r="D4" s="28"/>
      <c r="E4" s="3"/>
      <c r="F4" s="21">
        <v>500000</v>
      </c>
      <c r="G4" s="21">
        <v>125000</v>
      </c>
      <c r="H4" s="2"/>
      <c r="I4" s="2"/>
      <c r="J4" s="2"/>
      <c r="K4" s="2"/>
      <c r="L4" s="2"/>
      <c r="M4" s="2"/>
      <c r="N4" s="28" t="s">
        <v>327</v>
      </c>
    </row>
    <row r="5" spans="1:14" x14ac:dyDescent="0.3">
      <c r="A5" s="29" t="s">
        <v>332</v>
      </c>
      <c r="B5" s="29" t="s">
        <v>333</v>
      </c>
      <c r="C5" s="29" t="s">
        <v>209</v>
      </c>
      <c r="D5" s="29"/>
      <c r="E5" s="3"/>
      <c r="F5" s="6">
        <v>500000</v>
      </c>
      <c r="G5" s="6">
        <v>125000</v>
      </c>
      <c r="H5" s="2"/>
      <c r="I5" s="2"/>
      <c r="J5" s="2"/>
      <c r="K5" s="2"/>
      <c r="L5" s="2"/>
      <c r="M5" s="2"/>
      <c r="N5" s="29" t="s">
        <v>327</v>
      </c>
    </row>
    <row r="6" spans="1:14" x14ac:dyDescent="0.3">
      <c r="A6" s="28" t="s">
        <v>334</v>
      </c>
      <c r="B6" s="28" t="s">
        <v>335</v>
      </c>
      <c r="C6" s="28" t="s">
        <v>209</v>
      </c>
      <c r="D6" s="28"/>
      <c r="E6" s="3"/>
      <c r="F6" s="21">
        <v>500000</v>
      </c>
      <c r="G6" s="21">
        <v>125000</v>
      </c>
      <c r="H6" s="2"/>
      <c r="I6" s="2"/>
      <c r="J6" s="2"/>
      <c r="K6" s="2"/>
      <c r="L6" s="2"/>
      <c r="M6" s="2"/>
      <c r="N6" s="28" t="s">
        <v>327</v>
      </c>
    </row>
    <row r="7" spans="1:14" x14ac:dyDescent="0.3">
      <c r="A7" s="4"/>
      <c r="B7" s="4"/>
      <c r="C7" s="4"/>
      <c r="D7" s="4"/>
      <c r="E7" s="3"/>
      <c r="F7" s="2"/>
      <c r="G7" s="2"/>
      <c r="H7" s="2"/>
      <c r="I7" s="2"/>
      <c r="J7" s="2"/>
      <c r="K7" s="2"/>
      <c r="L7" s="2"/>
      <c r="M7" s="2"/>
      <c r="N7" s="4"/>
    </row>
    <row r="8" spans="1:14" x14ac:dyDescent="0.3">
      <c r="A8" s="4"/>
      <c r="B8" s="4"/>
      <c r="C8" s="4"/>
      <c r="D8" s="4"/>
      <c r="E8" s="3"/>
      <c r="F8" s="2"/>
      <c r="G8" s="2"/>
      <c r="H8" s="2"/>
      <c r="I8" s="2"/>
      <c r="J8" s="2"/>
      <c r="K8" s="2"/>
      <c r="L8" s="2"/>
      <c r="M8" s="2"/>
      <c r="N8" s="4"/>
    </row>
    <row r="9" spans="1:14" x14ac:dyDescent="0.3">
      <c r="A9" s="4"/>
      <c r="B9" s="4"/>
      <c r="C9" s="4"/>
      <c r="D9" s="4"/>
      <c r="E9" s="3"/>
      <c r="F9" s="2"/>
      <c r="G9" s="2"/>
      <c r="H9" s="2"/>
      <c r="I9" s="2"/>
      <c r="J9" s="2"/>
      <c r="K9" s="2"/>
      <c r="L9" s="2"/>
      <c r="M9" s="2"/>
      <c r="N9" s="4"/>
    </row>
    <row r="10" spans="1:14" x14ac:dyDescent="0.3">
      <c r="A10" s="4"/>
      <c r="B10" s="4"/>
      <c r="C10" s="4"/>
      <c r="D10" s="4"/>
      <c r="E10" s="3"/>
      <c r="F10" s="2"/>
      <c r="G10" s="2"/>
      <c r="H10" s="2"/>
      <c r="I10" s="2"/>
      <c r="J10" s="2"/>
      <c r="K10" s="2"/>
      <c r="L10" s="2"/>
      <c r="M10" s="2"/>
      <c r="N10" s="4"/>
    </row>
    <row r="11" spans="1:14" x14ac:dyDescent="0.3">
      <c r="A11" s="4"/>
      <c r="B11" s="4"/>
      <c r="C11" s="4"/>
      <c r="D11" s="4"/>
      <c r="E11" s="3"/>
      <c r="F11" s="2"/>
      <c r="G11" s="2"/>
      <c r="H11" s="2"/>
      <c r="I11" s="2"/>
      <c r="J11" s="2"/>
      <c r="K11" s="2"/>
      <c r="L11" s="2"/>
      <c r="M11" s="2"/>
      <c r="N11" s="4"/>
    </row>
    <row r="12" spans="1:14" x14ac:dyDescent="0.3">
      <c r="A12" s="4"/>
      <c r="B12" s="4"/>
      <c r="C12" s="4"/>
      <c r="D12" s="4"/>
      <c r="E12" s="3"/>
      <c r="F12" s="2"/>
      <c r="G12" s="2"/>
      <c r="H12" s="2"/>
      <c r="I12" s="2"/>
      <c r="J12" s="2"/>
      <c r="K12" s="2"/>
      <c r="L12" s="2"/>
      <c r="M12" s="2"/>
      <c r="N12" s="4"/>
    </row>
    <row r="13" spans="1:14" x14ac:dyDescent="0.3">
      <c r="A13" s="4"/>
      <c r="B13" s="4"/>
      <c r="C13" s="4"/>
      <c r="D13" s="4"/>
      <c r="E13" s="3"/>
      <c r="F13" s="2"/>
      <c r="G13" s="2"/>
      <c r="H13" s="2"/>
      <c r="I13" s="2"/>
      <c r="J13" s="2"/>
      <c r="K13" s="2"/>
      <c r="L13" s="2"/>
      <c r="M13" s="2"/>
      <c r="N13" s="4"/>
    </row>
    <row r="14" spans="1:14" x14ac:dyDescent="0.3">
      <c r="A14" s="4"/>
      <c r="B14" s="4"/>
      <c r="C14" s="4"/>
      <c r="D14" s="4"/>
      <c r="E14" s="3"/>
      <c r="F14" s="2"/>
      <c r="G14" s="2"/>
      <c r="H14" s="2"/>
      <c r="I14" s="2"/>
      <c r="J14" s="2"/>
      <c r="K14" s="2"/>
      <c r="L14" s="2"/>
      <c r="M14" s="2"/>
      <c r="N14" s="4"/>
    </row>
    <row r="15" spans="1:14" x14ac:dyDescent="0.3">
      <c r="A15" s="4"/>
      <c r="B15" s="4"/>
      <c r="C15" s="4"/>
      <c r="D15" s="4"/>
      <c r="E15" s="3"/>
      <c r="F15" s="2"/>
      <c r="G15" s="2"/>
      <c r="H15" s="2"/>
      <c r="I15" s="2"/>
      <c r="J15" s="2"/>
      <c r="K15" s="2"/>
      <c r="L15" s="2"/>
      <c r="M15" s="2"/>
      <c r="N15" s="4"/>
    </row>
    <row r="16" spans="1:14" x14ac:dyDescent="0.3">
      <c r="A16" s="4"/>
      <c r="B16" s="4"/>
      <c r="C16" s="4"/>
      <c r="D16" s="4"/>
      <c r="E16" s="3"/>
      <c r="F16" s="2"/>
      <c r="G16" s="2"/>
      <c r="H16" s="2"/>
      <c r="I16" s="2"/>
      <c r="J16" s="2"/>
      <c r="K16" s="2"/>
      <c r="L16" s="2"/>
      <c r="M16" s="2"/>
      <c r="N16" s="4"/>
    </row>
    <row r="17" spans="1:14" x14ac:dyDescent="0.3">
      <c r="A17" s="4"/>
      <c r="B17" s="4"/>
      <c r="C17" s="4"/>
      <c r="D17" s="4"/>
      <c r="E17" s="3"/>
      <c r="F17" s="2"/>
      <c r="G17" s="2"/>
      <c r="H17" s="2"/>
      <c r="I17" s="2"/>
      <c r="J17" s="2"/>
      <c r="K17" s="2"/>
      <c r="L17" s="2"/>
      <c r="M17" s="2"/>
      <c r="N17" s="4"/>
    </row>
    <row r="18" spans="1:14" x14ac:dyDescent="0.3">
      <c r="A18" s="4"/>
      <c r="B18" s="4"/>
      <c r="C18" s="4"/>
      <c r="D18" s="4"/>
      <c r="E18" s="3"/>
      <c r="F18" s="2"/>
      <c r="G18" s="2"/>
      <c r="H18" s="2"/>
      <c r="I18" s="2"/>
      <c r="J18" s="2"/>
      <c r="K18" s="2"/>
      <c r="L18" s="2"/>
      <c r="M18" s="2"/>
      <c r="N18" s="4"/>
    </row>
    <row r="19" spans="1:14" x14ac:dyDescent="0.3">
      <c r="A19" s="4"/>
      <c r="B19" s="4"/>
      <c r="C19" s="4"/>
      <c r="D19" s="4"/>
      <c r="E19" s="3"/>
      <c r="F19" s="2"/>
      <c r="G19" s="2"/>
      <c r="H19" s="2"/>
      <c r="I19" s="2"/>
      <c r="J19" s="2"/>
      <c r="K19" s="2"/>
      <c r="L19" s="2"/>
      <c r="M19" s="2"/>
      <c r="N19" s="4"/>
    </row>
    <row r="20" spans="1:14" x14ac:dyDescent="0.3">
      <c r="A20" s="4"/>
      <c r="B20" s="4"/>
      <c r="C20" s="4"/>
      <c r="D20" s="4"/>
      <c r="E20" s="3"/>
      <c r="F20" s="2"/>
      <c r="G20" s="2"/>
      <c r="H20" s="2"/>
      <c r="I20" s="2"/>
      <c r="J20" s="2"/>
      <c r="K20" s="2"/>
      <c r="L20" s="2"/>
      <c r="M20" s="2"/>
      <c r="N20" s="4"/>
    </row>
    <row r="21" spans="1:14" x14ac:dyDescent="0.3">
      <c r="A21" s="4"/>
      <c r="B21" s="4"/>
      <c r="C21" s="4"/>
      <c r="D21" s="4"/>
      <c r="E21" s="3"/>
      <c r="F21" s="2"/>
      <c r="G21" s="2"/>
      <c r="H21" s="2"/>
      <c r="I21" s="2"/>
      <c r="J21" s="2"/>
      <c r="K21" s="2"/>
      <c r="L21" s="2"/>
      <c r="M21" s="2"/>
      <c r="N21" s="4"/>
    </row>
    <row r="22" spans="1:14" x14ac:dyDescent="0.3">
      <c r="A22" s="4"/>
      <c r="B22" s="4"/>
      <c r="C22" s="4"/>
      <c r="D22" s="4"/>
      <c r="E22" s="3"/>
      <c r="F22" s="2"/>
      <c r="G22" s="2"/>
      <c r="H22" s="2"/>
      <c r="I22" s="2"/>
      <c r="J22" s="2"/>
      <c r="K22" s="2"/>
      <c r="L22" s="2"/>
      <c r="M22" s="2"/>
      <c r="N22" s="4"/>
    </row>
    <row r="23" spans="1:14" x14ac:dyDescent="0.3">
      <c r="A23" s="4"/>
      <c r="B23" s="4"/>
      <c r="C23" s="4"/>
      <c r="D23" s="4"/>
      <c r="E23" s="3"/>
      <c r="F23" s="2"/>
      <c r="G23" s="2"/>
      <c r="H23" s="2"/>
      <c r="I23" s="2"/>
      <c r="J23" s="2"/>
      <c r="K23" s="2"/>
      <c r="L23" s="2"/>
      <c r="M23" s="2"/>
      <c r="N23" s="4"/>
    </row>
    <row r="24" spans="1:14" x14ac:dyDescent="0.3">
      <c r="A24" s="4"/>
      <c r="B24" s="4"/>
      <c r="C24" s="4"/>
      <c r="D24" s="4"/>
      <c r="E24" s="3"/>
      <c r="F24" s="2"/>
      <c r="G24" s="2"/>
      <c r="H24" s="2"/>
      <c r="I24" s="2"/>
      <c r="J24" s="2"/>
      <c r="K24" s="2"/>
      <c r="L24" s="2"/>
      <c r="M24" s="2"/>
      <c r="N24" s="4"/>
    </row>
    <row r="25" spans="1:14" x14ac:dyDescent="0.3">
      <c r="A25" s="4"/>
      <c r="B25" s="4"/>
      <c r="C25" s="4"/>
      <c r="D25" s="4"/>
      <c r="E25" s="3"/>
      <c r="F25" s="2"/>
      <c r="G25" s="2"/>
      <c r="H25" s="2"/>
      <c r="I25" s="2"/>
      <c r="J25" s="2"/>
      <c r="K25" s="2"/>
      <c r="L25" s="2"/>
      <c r="M25" s="2"/>
      <c r="N25" s="4"/>
    </row>
    <row r="26" spans="1:14" x14ac:dyDescent="0.3">
      <c r="A26" s="4"/>
      <c r="B26" s="4"/>
      <c r="C26" s="4"/>
      <c r="D26" s="4"/>
      <c r="E26" s="3"/>
      <c r="F26" s="2"/>
      <c r="G26" s="2"/>
      <c r="H26" s="2"/>
      <c r="I26" s="2"/>
      <c r="J26" s="2"/>
      <c r="K26" s="2"/>
      <c r="L26" s="2"/>
      <c r="M26" s="2"/>
      <c r="N26" s="4"/>
    </row>
    <row r="27" spans="1:14" x14ac:dyDescent="0.3">
      <c r="A27" s="4"/>
      <c r="B27" s="4"/>
      <c r="C27" s="4"/>
      <c r="D27" s="4"/>
      <c r="E27" s="3"/>
      <c r="F27" s="2"/>
      <c r="G27" s="2"/>
      <c r="H27" s="2"/>
      <c r="I27" s="2"/>
      <c r="J27" s="2"/>
      <c r="K27" s="2"/>
      <c r="L27" s="2"/>
      <c r="M27" s="2"/>
      <c r="N27" s="4"/>
    </row>
    <row r="28" spans="1:14" x14ac:dyDescent="0.3">
      <c r="A28" s="4"/>
      <c r="B28" s="4"/>
      <c r="C28" s="4"/>
      <c r="D28" s="4"/>
      <c r="E28" s="3"/>
      <c r="F28" s="2"/>
      <c r="G28" s="2"/>
      <c r="H28" s="2"/>
      <c r="I28" s="2"/>
      <c r="J28" s="2"/>
      <c r="K28" s="2"/>
      <c r="L28" s="2"/>
      <c r="M28" s="2"/>
      <c r="N28" s="4"/>
    </row>
    <row r="29" spans="1:14" x14ac:dyDescent="0.3">
      <c r="A29" s="4"/>
      <c r="B29" s="4"/>
      <c r="C29" s="4"/>
      <c r="D29" s="4"/>
      <c r="E29" s="3"/>
      <c r="F29" s="2"/>
      <c r="G29" s="2"/>
      <c r="H29" s="2"/>
      <c r="I29" s="2"/>
      <c r="J29" s="2"/>
      <c r="K29" s="2"/>
      <c r="L29" s="2"/>
      <c r="M29" s="2"/>
      <c r="N29" s="4"/>
    </row>
    <row r="30" spans="1:14" x14ac:dyDescent="0.3">
      <c r="A30" s="4"/>
      <c r="B30" s="4"/>
      <c r="C30" s="4"/>
      <c r="D30" s="4"/>
      <c r="E30" s="3"/>
      <c r="F30" s="2"/>
      <c r="G30" s="2"/>
      <c r="H30" s="2"/>
      <c r="I30" s="2"/>
      <c r="J30" s="2"/>
      <c r="K30" s="2"/>
      <c r="L30" s="2"/>
      <c r="M30" s="2"/>
      <c r="N30" s="4"/>
    </row>
    <row r="31" spans="1:14" x14ac:dyDescent="0.3">
      <c r="A31" s="4"/>
      <c r="B31" s="4"/>
      <c r="C31" s="4"/>
      <c r="D31" s="4"/>
      <c r="E31" s="3"/>
      <c r="F31" s="2"/>
      <c r="G31" s="2"/>
      <c r="H31" s="2"/>
      <c r="I31" s="2"/>
      <c r="J31" s="2"/>
      <c r="K31" s="2"/>
      <c r="L31" s="2"/>
      <c r="M31" s="2"/>
      <c r="N31" s="4"/>
    </row>
    <row r="32" spans="1:14" x14ac:dyDescent="0.3">
      <c r="A32" s="4"/>
      <c r="B32" s="4"/>
      <c r="C32" s="4"/>
      <c r="D32" s="4"/>
      <c r="E32" s="3"/>
      <c r="F32" s="2"/>
      <c r="G32" s="2"/>
      <c r="H32" s="2"/>
      <c r="I32" s="2"/>
      <c r="J32" s="2"/>
      <c r="K32" s="2"/>
      <c r="L32" s="2"/>
      <c r="M32" s="2"/>
      <c r="N32" s="4"/>
    </row>
    <row r="33" spans="1:14" x14ac:dyDescent="0.3">
      <c r="A33" s="4"/>
      <c r="B33" s="4"/>
      <c r="C33" s="4"/>
      <c r="D33" s="4"/>
      <c r="E33" s="3"/>
      <c r="F33" s="2"/>
      <c r="G33" s="2"/>
      <c r="H33" s="2"/>
      <c r="I33" s="2"/>
      <c r="J33" s="2"/>
      <c r="K33" s="2"/>
      <c r="L33" s="2"/>
      <c r="M33" s="2"/>
      <c r="N33" s="4"/>
    </row>
    <row r="34" spans="1:14" x14ac:dyDescent="0.3">
      <c r="A34" s="4"/>
      <c r="B34" s="4"/>
      <c r="C34" s="4"/>
      <c r="D34" s="4"/>
      <c r="E34" s="3"/>
      <c r="F34" s="2"/>
      <c r="G34" s="2"/>
      <c r="H34" s="2"/>
      <c r="I34" s="2"/>
      <c r="J34" s="2"/>
      <c r="K34" s="2"/>
      <c r="L34" s="2"/>
      <c r="M34" s="2"/>
      <c r="N34" s="4"/>
    </row>
    <row r="35" spans="1:14" x14ac:dyDescent="0.3">
      <c r="A35" s="4"/>
      <c r="B35" s="4"/>
      <c r="C35" s="4"/>
      <c r="D35" s="4"/>
      <c r="E35" s="3"/>
      <c r="F35" s="2"/>
      <c r="G35" s="2"/>
      <c r="H35" s="2"/>
      <c r="I35" s="2"/>
      <c r="J35" s="2"/>
      <c r="K35" s="2"/>
      <c r="L35" s="2"/>
      <c r="M35" s="2"/>
      <c r="N35" s="4"/>
    </row>
    <row r="36" spans="1:14" x14ac:dyDescent="0.3">
      <c r="A36" s="4"/>
      <c r="B36" s="4"/>
      <c r="C36" s="4"/>
      <c r="D36" s="4"/>
      <c r="E36" s="3"/>
      <c r="F36" s="2"/>
      <c r="G36" s="2"/>
      <c r="H36" s="2"/>
      <c r="I36" s="2"/>
      <c r="J36" s="2"/>
      <c r="K36" s="2"/>
      <c r="L36" s="2"/>
      <c r="M36" s="2"/>
      <c r="N36" s="4"/>
    </row>
    <row r="37" spans="1:14" x14ac:dyDescent="0.3">
      <c r="A37" s="4"/>
      <c r="B37" s="4"/>
      <c r="C37" s="4"/>
      <c r="D37" s="4"/>
      <c r="E37" s="3"/>
      <c r="F37" s="2"/>
      <c r="G37" s="2"/>
      <c r="H37" s="2"/>
      <c r="I37" s="2"/>
      <c r="J37" s="2"/>
      <c r="K37" s="2"/>
      <c r="L37" s="2"/>
      <c r="M37" s="2"/>
      <c r="N37" s="4"/>
    </row>
    <row r="38" spans="1:14" x14ac:dyDescent="0.3">
      <c r="A38" s="4"/>
      <c r="B38" s="4"/>
      <c r="C38" s="4"/>
      <c r="D38" s="4"/>
      <c r="E38" s="3"/>
      <c r="F38" s="2"/>
      <c r="G38" s="2"/>
      <c r="H38" s="2"/>
      <c r="I38" s="2"/>
      <c r="J38" s="2"/>
      <c r="K38" s="2"/>
      <c r="L38" s="2"/>
      <c r="M38" s="2"/>
      <c r="N38" s="4"/>
    </row>
    <row r="39" spans="1:14" x14ac:dyDescent="0.3">
      <c r="A39" s="4"/>
      <c r="B39" s="4"/>
      <c r="C39" s="4"/>
      <c r="D39" s="4"/>
      <c r="E39" s="3"/>
      <c r="F39" s="2"/>
      <c r="G39" s="2"/>
      <c r="H39" s="2"/>
      <c r="I39" s="2"/>
      <c r="J39" s="2"/>
      <c r="K39" s="2"/>
      <c r="L39" s="2"/>
      <c r="M39" s="2"/>
      <c r="N39" s="4"/>
    </row>
    <row r="40" spans="1:14" x14ac:dyDescent="0.3">
      <c r="A40" s="4"/>
      <c r="B40" s="4"/>
      <c r="C40" s="4"/>
      <c r="D40" s="4"/>
      <c r="E40" s="3"/>
      <c r="F40" s="2"/>
      <c r="G40" s="2"/>
      <c r="H40" s="2"/>
      <c r="I40" s="2"/>
      <c r="J40" s="2"/>
      <c r="K40" s="2"/>
      <c r="L40" s="2"/>
      <c r="M40" s="2"/>
      <c r="N40" s="4"/>
    </row>
    <row r="41" spans="1:14" x14ac:dyDescent="0.3">
      <c r="A41" s="4"/>
      <c r="B41" s="4"/>
      <c r="C41" s="4"/>
      <c r="D41" s="4"/>
      <c r="E41" s="3"/>
      <c r="F41" s="2"/>
      <c r="G41" s="2"/>
      <c r="H41" s="2"/>
      <c r="I41" s="2"/>
      <c r="J41" s="2"/>
      <c r="K41" s="2"/>
      <c r="L41" s="2"/>
      <c r="M41" s="2"/>
      <c r="N41" s="4"/>
    </row>
    <row r="42" spans="1:14" x14ac:dyDescent="0.3">
      <c r="A42" s="4"/>
      <c r="B42" s="4"/>
      <c r="C42" s="4"/>
      <c r="D42" s="4"/>
      <c r="E42" s="3"/>
      <c r="F42" s="2"/>
      <c r="G42" s="2"/>
      <c r="H42" s="2"/>
      <c r="I42" s="2"/>
      <c r="J42" s="2"/>
      <c r="K42" s="2"/>
      <c r="L42" s="2"/>
      <c r="M42" s="2"/>
      <c r="N42" s="4"/>
    </row>
    <row r="43" spans="1:14" x14ac:dyDescent="0.3">
      <c r="A43" s="4"/>
      <c r="B43" s="4"/>
      <c r="C43" s="4"/>
      <c r="D43" s="4"/>
      <c r="E43" s="3"/>
      <c r="F43" s="2"/>
      <c r="G43" s="2"/>
      <c r="H43" s="2"/>
      <c r="I43" s="2"/>
      <c r="J43" s="2"/>
      <c r="K43" s="2"/>
      <c r="L43" s="2"/>
      <c r="M43" s="2"/>
      <c r="N43" s="4"/>
    </row>
    <row r="44" spans="1:14" x14ac:dyDescent="0.3">
      <c r="A44" s="4"/>
      <c r="B44" s="4"/>
      <c r="C44" s="4"/>
      <c r="D44" s="4"/>
      <c r="E44" s="3"/>
      <c r="F44" s="2"/>
      <c r="G44" s="2"/>
      <c r="H44" s="2"/>
      <c r="I44" s="2"/>
      <c r="J44" s="2"/>
      <c r="K44" s="2"/>
      <c r="L44" s="2"/>
      <c r="M44" s="2"/>
      <c r="N44" s="4"/>
    </row>
    <row r="45" spans="1:14" x14ac:dyDescent="0.3">
      <c r="A45" s="4"/>
      <c r="B45" s="4"/>
      <c r="C45" s="4"/>
      <c r="D45" s="4"/>
      <c r="E45" s="3"/>
      <c r="F45" s="2"/>
      <c r="G45" s="2"/>
      <c r="H45" s="2"/>
      <c r="I45" s="2"/>
      <c r="J45" s="2"/>
      <c r="K45" s="2"/>
      <c r="L45" s="2"/>
      <c r="M45" s="2"/>
      <c r="N45" s="4"/>
    </row>
    <row r="46" spans="1:14" x14ac:dyDescent="0.3">
      <c r="A46" s="4"/>
      <c r="B46" s="4"/>
      <c r="C46" s="4"/>
      <c r="D46" s="4"/>
      <c r="E46" s="3"/>
      <c r="F46" s="2"/>
      <c r="G46" s="2"/>
      <c r="H46" s="2"/>
      <c r="I46" s="2"/>
      <c r="J46" s="2"/>
      <c r="K46" s="2"/>
      <c r="L46" s="2"/>
      <c r="M46" s="2"/>
      <c r="N46" s="4"/>
    </row>
    <row r="47" spans="1:14" x14ac:dyDescent="0.3">
      <c r="A47" s="4"/>
      <c r="B47" s="4"/>
      <c r="C47" s="4"/>
      <c r="D47" s="4"/>
      <c r="E47" s="3"/>
      <c r="F47" s="2"/>
      <c r="G47" s="2"/>
      <c r="H47" s="2"/>
      <c r="I47" s="2"/>
      <c r="J47" s="2"/>
      <c r="K47" s="2"/>
      <c r="L47" s="2"/>
      <c r="M47" s="2"/>
      <c r="N47" s="4"/>
    </row>
    <row r="48" spans="1:14" x14ac:dyDescent="0.3">
      <c r="A48" s="4"/>
      <c r="B48" s="4"/>
      <c r="C48" s="4"/>
      <c r="D48" s="4"/>
      <c r="E48" s="3"/>
      <c r="F48" s="2"/>
      <c r="G48" s="2"/>
      <c r="H48" s="2"/>
      <c r="I48" s="2"/>
      <c r="J48" s="2"/>
      <c r="K48" s="2"/>
      <c r="L48" s="2"/>
      <c r="M48" s="2"/>
      <c r="N48" s="4"/>
    </row>
    <row r="49" spans="1:14" x14ac:dyDescent="0.3">
      <c r="A49" s="4"/>
      <c r="B49" s="4"/>
      <c r="C49" s="4"/>
      <c r="D49" s="4"/>
      <c r="E49" s="3"/>
      <c r="F49" s="2"/>
      <c r="G49" s="2"/>
      <c r="H49" s="2"/>
      <c r="I49" s="2"/>
      <c r="J49" s="2"/>
      <c r="K49" s="2"/>
      <c r="L49" s="2"/>
      <c r="M49" s="2"/>
      <c r="N49" s="4"/>
    </row>
    <row r="50" spans="1:14" x14ac:dyDescent="0.3">
      <c r="A50" s="4"/>
      <c r="B50" s="4"/>
      <c r="C50" s="4"/>
      <c r="D50" s="4"/>
      <c r="E50" s="3"/>
      <c r="F50" s="2"/>
      <c r="G50" s="2"/>
      <c r="H50" s="2"/>
      <c r="I50" s="2"/>
      <c r="J50" s="2"/>
      <c r="K50" s="2"/>
      <c r="L50" s="2"/>
      <c r="M50" s="2"/>
      <c r="N50" s="4"/>
    </row>
    <row r="51" spans="1:14" x14ac:dyDescent="0.3">
      <c r="A51" s="4"/>
      <c r="B51" s="4"/>
      <c r="C51" s="4"/>
      <c r="D51" s="4"/>
      <c r="E51" s="3"/>
      <c r="F51" s="2"/>
      <c r="G51" s="2"/>
      <c r="H51" s="2"/>
      <c r="I51" s="2"/>
      <c r="J51" s="2"/>
      <c r="K51" s="2"/>
      <c r="L51" s="2"/>
      <c r="M51" s="2"/>
      <c r="N51" s="4"/>
    </row>
    <row r="52" spans="1:14" x14ac:dyDescent="0.3">
      <c r="A52" s="4"/>
      <c r="B52" s="4"/>
      <c r="C52" s="4"/>
      <c r="D52" s="4"/>
      <c r="E52" s="3"/>
      <c r="F52" s="2"/>
      <c r="G52" s="2"/>
      <c r="H52" s="2"/>
      <c r="I52" s="2"/>
      <c r="J52" s="2"/>
      <c r="K52" s="2"/>
      <c r="L52" s="2"/>
      <c r="M52" s="2"/>
      <c r="N52" s="4"/>
    </row>
    <row r="53" spans="1:14" x14ac:dyDescent="0.3">
      <c r="A53" s="4"/>
      <c r="B53" s="4"/>
      <c r="C53" s="4"/>
      <c r="D53" s="4"/>
      <c r="E53" s="3"/>
      <c r="F53" s="2"/>
      <c r="G53" s="2"/>
      <c r="H53" s="2"/>
      <c r="I53" s="2"/>
      <c r="J53" s="2"/>
      <c r="K53" s="2"/>
      <c r="L53" s="2"/>
      <c r="M53" s="2"/>
      <c r="N53" s="4"/>
    </row>
    <row r="54" spans="1:14" x14ac:dyDescent="0.3">
      <c r="A54" s="4"/>
      <c r="B54" s="4"/>
      <c r="C54" s="4"/>
      <c r="D54" s="4"/>
      <c r="E54" s="3"/>
      <c r="F54" s="2"/>
      <c r="G54" s="2"/>
      <c r="H54" s="2"/>
      <c r="I54" s="2"/>
      <c r="J54" s="2"/>
      <c r="K54" s="2"/>
      <c r="L54" s="2"/>
      <c r="M54" s="2"/>
      <c r="N54" s="4"/>
    </row>
    <row r="55" spans="1:14" x14ac:dyDescent="0.3">
      <c r="A55" s="4"/>
      <c r="B55" s="4"/>
      <c r="C55" s="4"/>
      <c r="D55" s="4"/>
      <c r="E55" s="3"/>
      <c r="F55" s="2"/>
      <c r="G55" s="2"/>
      <c r="H55" s="2"/>
      <c r="I55" s="2"/>
      <c r="J55" s="2"/>
      <c r="K55" s="2"/>
      <c r="L55" s="2"/>
      <c r="M55" s="2"/>
      <c r="N55" s="4"/>
    </row>
    <row r="56" spans="1:14" x14ac:dyDescent="0.3">
      <c r="A56" s="4"/>
      <c r="B56" s="4"/>
      <c r="C56" s="4"/>
      <c r="D56" s="4"/>
      <c r="E56" s="3"/>
      <c r="F56" s="2"/>
      <c r="G56" s="2"/>
      <c r="H56" s="2"/>
      <c r="I56" s="2"/>
      <c r="J56" s="2"/>
      <c r="K56" s="2"/>
      <c r="L56" s="2"/>
      <c r="M56" s="2"/>
      <c r="N56" s="4"/>
    </row>
    <row r="57" spans="1:14" x14ac:dyDescent="0.3">
      <c r="A57" s="4"/>
      <c r="B57" s="4"/>
      <c r="C57" s="4"/>
      <c r="D57" s="4"/>
      <c r="E57" s="3"/>
      <c r="F57" s="2"/>
      <c r="G57" s="2"/>
      <c r="H57" s="2"/>
      <c r="I57" s="2"/>
      <c r="J57" s="2"/>
      <c r="K57" s="2"/>
      <c r="L57" s="2"/>
      <c r="M57" s="2"/>
      <c r="N57" s="4"/>
    </row>
    <row r="58" spans="1:14" x14ac:dyDescent="0.3">
      <c r="A58" s="4"/>
      <c r="B58" s="4"/>
      <c r="C58" s="4"/>
      <c r="D58" s="4"/>
      <c r="E58" s="3"/>
      <c r="F58" s="2"/>
      <c r="G58" s="2"/>
      <c r="H58" s="2"/>
      <c r="I58" s="2"/>
      <c r="J58" s="2"/>
      <c r="K58" s="2"/>
      <c r="L58" s="2"/>
      <c r="M58" s="2"/>
      <c r="N58" s="4"/>
    </row>
    <row r="59" spans="1:14" x14ac:dyDescent="0.3">
      <c r="A59" s="4"/>
      <c r="B59" s="4"/>
      <c r="C59" s="4"/>
      <c r="D59" s="4"/>
      <c r="E59" s="3"/>
      <c r="F59" s="2"/>
      <c r="G59" s="2"/>
      <c r="H59" s="2"/>
      <c r="I59" s="2"/>
      <c r="J59" s="2"/>
      <c r="K59" s="2"/>
      <c r="L59" s="2"/>
      <c r="M59" s="2"/>
      <c r="N59" s="4"/>
    </row>
    <row r="60" spans="1:14" x14ac:dyDescent="0.3">
      <c r="A60" s="4"/>
      <c r="B60" s="4"/>
      <c r="C60" s="4"/>
      <c r="D60" s="4"/>
      <c r="E60" s="3"/>
      <c r="F60" s="2"/>
      <c r="G60" s="2"/>
      <c r="H60" s="2"/>
      <c r="I60" s="2"/>
      <c r="J60" s="2"/>
      <c r="K60" s="2"/>
      <c r="L60" s="2"/>
      <c r="M60" s="2"/>
      <c r="N60" s="4"/>
    </row>
    <row r="61" spans="1:14" x14ac:dyDescent="0.3">
      <c r="A61" s="4"/>
      <c r="B61" s="4"/>
      <c r="C61" s="4"/>
      <c r="D61" s="4"/>
      <c r="E61" s="3"/>
      <c r="F61" s="2"/>
      <c r="G61" s="2"/>
      <c r="H61" s="2"/>
      <c r="I61" s="2"/>
      <c r="J61" s="2"/>
      <c r="K61" s="2"/>
      <c r="L61" s="2"/>
      <c r="M61" s="2"/>
      <c r="N61" s="4"/>
    </row>
    <row r="62" spans="1:14" x14ac:dyDescent="0.3">
      <c r="A62" s="4"/>
      <c r="B62" s="4"/>
      <c r="C62" s="4"/>
      <c r="D62" s="4"/>
      <c r="E62" s="3"/>
      <c r="F62" s="2"/>
      <c r="G62" s="2"/>
      <c r="H62" s="2"/>
      <c r="I62" s="2"/>
      <c r="J62" s="2"/>
      <c r="K62" s="2"/>
      <c r="L62" s="2"/>
      <c r="M62" s="2"/>
      <c r="N62" s="4"/>
    </row>
    <row r="63" spans="1:14" x14ac:dyDescent="0.3">
      <c r="A63" s="4"/>
      <c r="B63" s="4"/>
      <c r="C63" s="4"/>
      <c r="D63" s="4"/>
      <c r="E63" s="3"/>
      <c r="F63" s="2"/>
      <c r="G63" s="2"/>
      <c r="H63" s="2"/>
      <c r="I63" s="2"/>
      <c r="J63" s="2"/>
      <c r="K63" s="2"/>
      <c r="L63" s="2"/>
      <c r="M63" s="2"/>
      <c r="N63" s="4"/>
    </row>
    <row r="64" spans="1:14" x14ac:dyDescent="0.3">
      <c r="A64" s="4"/>
      <c r="B64" s="4"/>
      <c r="C64" s="4"/>
      <c r="D64" s="4"/>
      <c r="E64" s="3"/>
      <c r="F64" s="2"/>
      <c r="G64" s="2"/>
      <c r="H64" s="2"/>
      <c r="I64" s="2"/>
      <c r="J64" s="2"/>
      <c r="K64" s="2"/>
      <c r="L64" s="2"/>
      <c r="M64" s="2"/>
      <c r="N64" s="4"/>
    </row>
    <row r="65" spans="1:14" x14ac:dyDescent="0.3">
      <c r="A65" s="4"/>
      <c r="B65" s="4"/>
      <c r="C65" s="4"/>
      <c r="D65" s="4"/>
      <c r="E65" s="3"/>
      <c r="F65" s="2"/>
      <c r="G65" s="2"/>
      <c r="H65" s="2"/>
      <c r="I65" s="2"/>
      <c r="J65" s="2"/>
      <c r="K65" s="2"/>
      <c r="L65" s="2"/>
      <c r="M65" s="2"/>
      <c r="N65" s="4"/>
    </row>
    <row r="66" spans="1:14" x14ac:dyDescent="0.3">
      <c r="A66" s="4"/>
      <c r="B66" s="4"/>
      <c r="C66" s="4"/>
      <c r="D66" s="4"/>
      <c r="E66" s="3"/>
      <c r="F66" s="2"/>
      <c r="G66" s="2"/>
      <c r="H66" s="2"/>
      <c r="I66" s="2"/>
      <c r="J66" s="2"/>
      <c r="K66" s="2"/>
      <c r="L66" s="2"/>
      <c r="M66" s="2"/>
      <c r="N66" s="4"/>
    </row>
    <row r="67" spans="1:14" x14ac:dyDescent="0.3">
      <c r="A67" s="4"/>
      <c r="B67" s="4"/>
      <c r="C67" s="4"/>
      <c r="D67" s="4"/>
      <c r="E67" s="3"/>
      <c r="F67" s="2"/>
      <c r="G67" s="2"/>
      <c r="H67" s="2"/>
      <c r="I67" s="2"/>
      <c r="J67" s="2"/>
      <c r="K67" s="2"/>
      <c r="L67" s="2"/>
      <c r="M67" s="2"/>
      <c r="N67" s="4"/>
    </row>
    <row r="68" spans="1:14" x14ac:dyDescent="0.3">
      <c r="A68" s="4"/>
      <c r="B68" s="4"/>
      <c r="C68" s="4"/>
      <c r="D68" s="4"/>
      <c r="E68" s="3"/>
      <c r="F68" s="2"/>
      <c r="G68" s="2"/>
      <c r="H68" s="2"/>
      <c r="I68" s="2"/>
      <c r="J68" s="2"/>
      <c r="K68" s="2"/>
      <c r="L68" s="2"/>
      <c r="M68" s="2"/>
      <c r="N68" s="4"/>
    </row>
    <row r="69" spans="1:14" x14ac:dyDescent="0.3">
      <c r="A69" s="4"/>
      <c r="B69" s="4"/>
      <c r="C69" s="4"/>
      <c r="D69" s="4"/>
      <c r="E69" s="3"/>
      <c r="F69" s="2"/>
      <c r="G69" s="2"/>
      <c r="H69" s="2"/>
      <c r="I69" s="2"/>
      <c r="J69" s="2"/>
      <c r="K69" s="2"/>
      <c r="L69" s="2"/>
      <c r="M69" s="2"/>
      <c r="N69" s="4"/>
    </row>
    <row r="70" spans="1:14" x14ac:dyDescent="0.3">
      <c r="A70" s="4"/>
      <c r="B70" s="4"/>
      <c r="C70" s="4"/>
      <c r="D70" s="4"/>
      <c r="E70" s="3"/>
      <c r="F70" s="2"/>
      <c r="G70" s="2"/>
      <c r="H70" s="2"/>
      <c r="I70" s="2"/>
      <c r="J70" s="2"/>
      <c r="K70" s="2"/>
      <c r="L70" s="2"/>
      <c r="M70" s="2"/>
      <c r="N70" s="4"/>
    </row>
    <row r="71" spans="1:14" x14ac:dyDescent="0.3">
      <c r="A71" s="4"/>
      <c r="B71" s="4"/>
      <c r="C71" s="4"/>
      <c r="D71" s="4"/>
      <c r="E71" s="3"/>
      <c r="F71" s="2"/>
      <c r="G71" s="2"/>
      <c r="H71" s="2"/>
      <c r="I71" s="2"/>
      <c r="J71" s="2"/>
      <c r="K71" s="2"/>
      <c r="L71" s="2"/>
      <c r="M71" s="2"/>
      <c r="N71" s="4"/>
    </row>
    <row r="72" spans="1:14" x14ac:dyDescent="0.3">
      <c r="A72" s="4"/>
      <c r="B72" s="4"/>
      <c r="C72" s="4"/>
      <c r="D72" s="4"/>
      <c r="E72" s="3"/>
      <c r="F72" s="2"/>
      <c r="G72" s="2"/>
      <c r="H72" s="2"/>
      <c r="I72" s="2"/>
      <c r="J72" s="2"/>
      <c r="K72" s="2"/>
      <c r="L72" s="2"/>
      <c r="M72" s="2"/>
      <c r="N72" s="4"/>
    </row>
    <row r="73" spans="1:14" x14ac:dyDescent="0.3">
      <c r="A73" s="4"/>
      <c r="B73" s="4"/>
      <c r="C73" s="4"/>
      <c r="D73" s="4"/>
      <c r="E73" s="3"/>
      <c r="F73" s="2"/>
      <c r="G73" s="2"/>
      <c r="H73" s="2"/>
      <c r="I73" s="2"/>
      <c r="J73" s="2"/>
      <c r="K73" s="2"/>
      <c r="L73" s="2"/>
      <c r="M73" s="2"/>
      <c r="N73" s="4"/>
    </row>
    <row r="74" spans="1:14" x14ac:dyDescent="0.3">
      <c r="A74" s="4"/>
      <c r="B74" s="4"/>
      <c r="C74" s="4"/>
      <c r="D74" s="4"/>
      <c r="E74" s="3"/>
      <c r="F74" s="2"/>
      <c r="G74" s="2"/>
      <c r="H74" s="2"/>
      <c r="I74" s="2"/>
      <c r="J74" s="2"/>
      <c r="K74" s="2"/>
      <c r="L74" s="2"/>
      <c r="M74" s="2"/>
      <c r="N74" s="4"/>
    </row>
    <row r="75" spans="1:14" x14ac:dyDescent="0.3">
      <c r="A75" s="4"/>
      <c r="B75" s="4"/>
      <c r="C75" s="4"/>
      <c r="D75" s="4"/>
      <c r="E75" s="3"/>
      <c r="F75" s="2"/>
      <c r="G75" s="2"/>
      <c r="H75" s="2"/>
      <c r="I75" s="2"/>
      <c r="J75" s="2"/>
      <c r="K75" s="2"/>
      <c r="L75" s="2"/>
      <c r="M75" s="2"/>
      <c r="N75" s="4"/>
    </row>
    <row r="76" spans="1:14" x14ac:dyDescent="0.3">
      <c r="A76" s="4"/>
      <c r="B76" s="4"/>
      <c r="C76" s="4"/>
      <c r="D76" s="4"/>
      <c r="E76" s="3"/>
      <c r="F76" s="2"/>
      <c r="G76" s="2"/>
      <c r="H76" s="2"/>
      <c r="I76" s="2"/>
      <c r="J76" s="2"/>
      <c r="K76" s="2"/>
      <c r="L76" s="2"/>
      <c r="M76" s="2"/>
      <c r="N76" s="4"/>
    </row>
    <row r="77" spans="1:14" x14ac:dyDescent="0.3">
      <c r="A77" s="4"/>
      <c r="B77" s="4"/>
      <c r="C77" s="4"/>
      <c r="D77" s="4"/>
      <c r="E77" s="3"/>
      <c r="F77" s="2"/>
      <c r="G77" s="2"/>
      <c r="H77" s="2"/>
      <c r="I77" s="2"/>
      <c r="J77" s="2"/>
      <c r="K77" s="2"/>
      <c r="L77" s="2"/>
      <c r="M77" s="2"/>
      <c r="N77" s="4"/>
    </row>
    <row r="78" spans="1:14" x14ac:dyDescent="0.3">
      <c r="A78" s="4"/>
      <c r="B78" s="4"/>
      <c r="C78" s="4"/>
      <c r="D78" s="4"/>
      <c r="E78" s="3"/>
      <c r="F78" s="2"/>
      <c r="G78" s="2"/>
      <c r="H78" s="2"/>
      <c r="I78" s="2"/>
      <c r="J78" s="2"/>
      <c r="K78" s="2"/>
      <c r="L78" s="2"/>
      <c r="M78" s="2"/>
      <c r="N78" s="4"/>
    </row>
    <row r="79" spans="1:14" x14ac:dyDescent="0.3">
      <c r="A79" s="4"/>
      <c r="B79" s="4"/>
      <c r="C79" s="4"/>
      <c r="D79" s="4"/>
      <c r="E79" s="3"/>
      <c r="F79" s="2"/>
      <c r="G79" s="2"/>
      <c r="H79" s="2"/>
      <c r="I79" s="2"/>
      <c r="J79" s="2"/>
      <c r="K79" s="2"/>
      <c r="L79" s="2"/>
      <c r="M79" s="2"/>
      <c r="N79" s="4"/>
    </row>
    <row r="80" spans="1:14" x14ac:dyDescent="0.3">
      <c r="A80" s="4"/>
      <c r="B80" s="4"/>
      <c r="C80" s="4"/>
      <c r="D80" s="4"/>
      <c r="E80" s="3"/>
      <c r="F80" s="2"/>
      <c r="G80" s="2"/>
      <c r="H80" s="2"/>
      <c r="I80" s="2"/>
      <c r="J80" s="2"/>
      <c r="K80" s="2"/>
      <c r="L80" s="2"/>
      <c r="M80" s="2"/>
      <c r="N80" s="4"/>
    </row>
    <row r="81" spans="1:14" x14ac:dyDescent="0.3">
      <c r="A81" s="4"/>
      <c r="B81" s="4"/>
      <c r="C81" s="4"/>
      <c r="D81" s="4"/>
      <c r="E81" s="3"/>
      <c r="F81" s="2"/>
      <c r="G81" s="2"/>
      <c r="H81" s="2"/>
      <c r="I81" s="2"/>
      <c r="J81" s="2"/>
      <c r="K81" s="2"/>
      <c r="L81" s="2"/>
      <c r="M81" s="2"/>
      <c r="N81" s="4"/>
    </row>
    <row r="82" spans="1:14" x14ac:dyDescent="0.3">
      <c r="A82" s="4"/>
      <c r="B82" s="4"/>
      <c r="C82" s="4"/>
      <c r="D82" s="4"/>
      <c r="E82" s="3"/>
      <c r="F82" s="2"/>
      <c r="G82" s="2"/>
      <c r="H82" s="2"/>
      <c r="I82" s="2"/>
      <c r="J82" s="2"/>
      <c r="K82" s="2"/>
      <c r="L82" s="2"/>
      <c r="M82" s="2"/>
      <c r="N82" s="4"/>
    </row>
    <row r="83" spans="1:14" x14ac:dyDescent="0.3">
      <c r="A83" s="4"/>
      <c r="B83" s="4"/>
      <c r="C83" s="4"/>
      <c r="D83" s="4"/>
      <c r="E83" s="3"/>
      <c r="F83" s="2"/>
      <c r="G83" s="2"/>
      <c r="H83" s="2"/>
      <c r="I83" s="2"/>
      <c r="J83" s="2"/>
      <c r="K83" s="2"/>
      <c r="L83" s="2"/>
      <c r="M83" s="2"/>
      <c r="N83" s="4"/>
    </row>
    <row r="84" spans="1:14" x14ac:dyDescent="0.3">
      <c r="A84" s="4"/>
      <c r="B84" s="4"/>
      <c r="C84" s="4"/>
      <c r="D84" s="4"/>
      <c r="E84" s="3"/>
      <c r="F84" s="2"/>
      <c r="G84" s="2"/>
      <c r="H84" s="2"/>
      <c r="I84" s="2"/>
      <c r="J84" s="2"/>
      <c r="K84" s="2"/>
      <c r="L84" s="2"/>
      <c r="M84" s="2"/>
      <c r="N84" s="4"/>
    </row>
    <row r="85" spans="1:14" x14ac:dyDescent="0.3">
      <c r="A85" s="4"/>
      <c r="B85" s="4"/>
      <c r="C85" s="4"/>
      <c r="D85" s="4"/>
      <c r="E85" s="3"/>
      <c r="F85" s="2"/>
      <c r="G85" s="2"/>
      <c r="H85" s="2"/>
      <c r="I85" s="2"/>
      <c r="J85" s="2"/>
      <c r="K85" s="2"/>
      <c r="L85" s="2"/>
      <c r="M85" s="2"/>
      <c r="N85" s="4"/>
    </row>
    <row r="86" spans="1:14" x14ac:dyDescent="0.3">
      <c r="A86" s="4"/>
      <c r="B86" s="4"/>
      <c r="C86" s="4"/>
      <c r="D86" s="4"/>
      <c r="E86" s="3"/>
      <c r="F86" s="2"/>
      <c r="G86" s="2"/>
      <c r="H86" s="2"/>
      <c r="I86" s="2"/>
      <c r="J86" s="2"/>
      <c r="K86" s="2"/>
      <c r="L86" s="2"/>
      <c r="M86" s="2"/>
      <c r="N86" s="4"/>
    </row>
    <row r="87" spans="1:14" x14ac:dyDescent="0.3">
      <c r="A87" s="4"/>
      <c r="B87" s="4"/>
      <c r="C87" s="4"/>
      <c r="D87" s="4"/>
      <c r="E87" s="3"/>
      <c r="F87" s="2"/>
      <c r="G87" s="2"/>
      <c r="H87" s="2"/>
      <c r="I87" s="2"/>
      <c r="J87" s="2"/>
      <c r="K87" s="2"/>
      <c r="L87" s="2"/>
      <c r="M87" s="2"/>
      <c r="N87" s="4"/>
    </row>
    <row r="88" spans="1:14" x14ac:dyDescent="0.3">
      <c r="A88" s="4"/>
      <c r="B88" s="4"/>
      <c r="C88" s="4"/>
      <c r="D88" s="4"/>
      <c r="E88" s="3"/>
      <c r="F88" s="2"/>
      <c r="G88" s="2"/>
      <c r="H88" s="2"/>
      <c r="I88" s="2"/>
      <c r="J88" s="2"/>
      <c r="K88" s="2"/>
      <c r="L88" s="2"/>
      <c r="M88" s="2"/>
      <c r="N88" s="4"/>
    </row>
    <row r="89" spans="1:14" x14ac:dyDescent="0.3">
      <c r="A89" s="4"/>
      <c r="B89" s="4"/>
      <c r="C89" s="4"/>
      <c r="D89" s="4"/>
      <c r="E89" s="3"/>
      <c r="F89" s="2"/>
      <c r="G89" s="2"/>
      <c r="H89" s="2"/>
      <c r="I89" s="2"/>
      <c r="J89" s="2"/>
      <c r="K89" s="2"/>
      <c r="L89" s="2"/>
      <c r="M89" s="2"/>
      <c r="N89" s="4"/>
    </row>
    <row r="90" spans="1:14" x14ac:dyDescent="0.3">
      <c r="A90" s="4"/>
      <c r="B90" s="4"/>
      <c r="C90" s="4"/>
      <c r="D90" s="4"/>
      <c r="E90" s="3"/>
      <c r="F90" s="2"/>
      <c r="G90" s="2"/>
      <c r="H90" s="2"/>
      <c r="I90" s="2"/>
      <c r="J90" s="2"/>
      <c r="K90" s="2"/>
      <c r="L90" s="2"/>
      <c r="M90" s="2"/>
      <c r="N90" s="4"/>
    </row>
    <row r="91" spans="1:14" x14ac:dyDescent="0.3">
      <c r="A91" s="4"/>
      <c r="B91" s="4"/>
      <c r="C91" s="4"/>
      <c r="D91" s="4"/>
      <c r="E91" s="3"/>
      <c r="F91" s="2"/>
      <c r="G91" s="2"/>
      <c r="H91" s="2"/>
      <c r="I91" s="2"/>
      <c r="J91" s="2"/>
      <c r="K91" s="2"/>
      <c r="L91" s="2"/>
      <c r="M91" s="2"/>
      <c r="N91" s="4"/>
    </row>
    <row r="92" spans="1:14" x14ac:dyDescent="0.3">
      <c r="A92" s="4"/>
      <c r="B92" s="4"/>
      <c r="C92" s="4"/>
      <c r="D92" s="4"/>
      <c r="E92" s="3"/>
      <c r="F92" s="2"/>
      <c r="G92" s="2"/>
      <c r="H92" s="2"/>
      <c r="I92" s="2"/>
      <c r="J92" s="2"/>
      <c r="K92" s="2"/>
      <c r="L92" s="2"/>
      <c r="M92" s="2"/>
      <c r="N92" s="4"/>
    </row>
    <row r="93" spans="1:14" x14ac:dyDescent="0.3">
      <c r="A93" s="4"/>
      <c r="B93" s="4"/>
      <c r="C93" s="4"/>
      <c r="D93" s="4"/>
      <c r="E93" s="3"/>
      <c r="F93" s="2"/>
      <c r="G93" s="2"/>
      <c r="H93" s="2"/>
      <c r="I93" s="2"/>
      <c r="J93" s="2"/>
      <c r="K93" s="2"/>
      <c r="L93" s="2"/>
      <c r="M93" s="2"/>
      <c r="N93" s="4"/>
    </row>
    <row r="94" spans="1:14" x14ac:dyDescent="0.3">
      <c r="A94" s="4"/>
      <c r="B94" s="4"/>
      <c r="C94" s="4"/>
      <c r="D94" s="4"/>
      <c r="E94" s="3"/>
      <c r="F94" s="2"/>
      <c r="G94" s="2"/>
      <c r="H94" s="2"/>
      <c r="I94" s="2"/>
      <c r="J94" s="2"/>
      <c r="K94" s="2"/>
      <c r="L94" s="2"/>
      <c r="M94" s="2"/>
      <c r="N94" s="4"/>
    </row>
    <row r="95" spans="1:14" x14ac:dyDescent="0.3">
      <c r="A95" s="4"/>
      <c r="B95" s="4"/>
      <c r="C95" s="4"/>
      <c r="D95" s="4"/>
      <c r="E95" s="3"/>
      <c r="F95" s="2"/>
      <c r="G95" s="2"/>
      <c r="H95" s="2"/>
      <c r="I95" s="2"/>
      <c r="J95" s="2"/>
      <c r="K95" s="2"/>
      <c r="L95" s="2"/>
      <c r="M95" s="2"/>
      <c r="N95" s="4"/>
    </row>
    <row r="96" spans="1:14" x14ac:dyDescent="0.3">
      <c r="A96" s="4"/>
      <c r="B96" s="4"/>
      <c r="C96" s="4"/>
      <c r="D96" s="4"/>
      <c r="E96" s="3"/>
      <c r="F96" s="2"/>
      <c r="G96" s="2"/>
      <c r="H96" s="2"/>
      <c r="I96" s="2"/>
      <c r="J96" s="2"/>
      <c r="K96" s="2"/>
      <c r="L96" s="2"/>
      <c r="M96" s="2"/>
      <c r="N96" s="4"/>
    </row>
    <row r="97" spans="1:14" x14ac:dyDescent="0.3">
      <c r="A97" s="4"/>
      <c r="B97" s="4"/>
      <c r="C97" s="4"/>
      <c r="D97" s="4"/>
      <c r="E97" s="3"/>
      <c r="F97" s="2"/>
      <c r="G97" s="2"/>
      <c r="H97" s="2"/>
      <c r="I97" s="2"/>
      <c r="J97" s="2"/>
      <c r="K97" s="2"/>
      <c r="L97" s="2"/>
      <c r="M97" s="2"/>
      <c r="N97" s="4"/>
    </row>
    <row r="98" spans="1:14" x14ac:dyDescent="0.3">
      <c r="A98" s="4"/>
      <c r="B98" s="4"/>
      <c r="C98" s="4"/>
      <c r="D98" s="4"/>
      <c r="E98" s="3"/>
      <c r="F98" s="2"/>
      <c r="G98" s="2"/>
      <c r="H98" s="2"/>
      <c r="I98" s="2"/>
      <c r="J98" s="2"/>
      <c r="K98" s="2"/>
      <c r="L98" s="2"/>
      <c r="M98" s="2"/>
      <c r="N98" s="4"/>
    </row>
    <row r="99" spans="1:14" x14ac:dyDescent="0.3">
      <c r="A99" s="4"/>
      <c r="B99" s="4"/>
      <c r="C99" s="4"/>
      <c r="D99" s="4"/>
      <c r="E99" s="3"/>
      <c r="F99" s="2"/>
      <c r="G99" s="2"/>
      <c r="H99" s="2"/>
      <c r="I99" s="2"/>
      <c r="J99" s="2"/>
      <c r="K99" s="2"/>
      <c r="L99" s="2"/>
      <c r="M99" s="2"/>
      <c r="N99" s="4"/>
    </row>
    <row r="100" spans="1:14" x14ac:dyDescent="0.3">
      <c r="A100" s="4"/>
      <c r="B100" s="4"/>
      <c r="C100" s="4"/>
      <c r="D100" s="4"/>
      <c r="E100" s="3"/>
      <c r="F100" s="2"/>
      <c r="G100" s="2"/>
      <c r="H100" s="2"/>
      <c r="I100" s="2"/>
      <c r="J100" s="2"/>
      <c r="K100" s="2"/>
      <c r="L100" s="2"/>
      <c r="M100" s="2"/>
      <c r="N100" s="4"/>
    </row>
    <row r="101" spans="1:14" x14ac:dyDescent="0.3">
      <c r="A101" s="4"/>
      <c r="B101" s="4"/>
      <c r="C101" s="4"/>
      <c r="D101" s="4"/>
      <c r="E101" s="3"/>
      <c r="F101" s="2"/>
      <c r="G101" s="2"/>
      <c r="H101" s="2"/>
      <c r="I101" s="2"/>
      <c r="J101" s="2"/>
      <c r="K101" s="2"/>
      <c r="L101" s="2"/>
      <c r="M101" s="2"/>
      <c r="N101" s="4"/>
    </row>
    <row r="102" spans="1:14" x14ac:dyDescent="0.3">
      <c r="A102" s="4"/>
      <c r="B102" s="4"/>
      <c r="C102" s="4"/>
      <c r="D102" s="4"/>
      <c r="E102" s="3"/>
      <c r="F102" s="2"/>
      <c r="G102" s="2"/>
      <c r="H102" s="2"/>
      <c r="I102" s="2"/>
      <c r="J102" s="2"/>
      <c r="K102" s="2"/>
      <c r="L102" s="2"/>
      <c r="M102" s="2"/>
      <c r="N102" s="4"/>
    </row>
    <row r="103" spans="1:14" x14ac:dyDescent="0.3">
      <c r="A103" s="4"/>
      <c r="B103" s="4"/>
      <c r="C103" s="4"/>
      <c r="D103" s="4"/>
      <c r="E103" s="3"/>
      <c r="F103" s="2"/>
      <c r="G103" s="2"/>
      <c r="H103" s="2"/>
      <c r="I103" s="2"/>
      <c r="J103" s="2"/>
      <c r="K103" s="2"/>
      <c r="L103" s="2"/>
      <c r="M103" s="2"/>
      <c r="N103" s="4"/>
    </row>
    <row r="104" spans="1:14" x14ac:dyDescent="0.3">
      <c r="A104" s="4"/>
      <c r="B104" s="4"/>
      <c r="C104" s="4"/>
      <c r="D104" s="4"/>
      <c r="E104" s="3"/>
      <c r="F104" s="2"/>
      <c r="G104" s="2"/>
      <c r="H104" s="2"/>
      <c r="I104" s="2"/>
      <c r="J104" s="2"/>
      <c r="K104" s="2"/>
      <c r="L104" s="2"/>
      <c r="M104" s="2"/>
      <c r="N104" s="4"/>
    </row>
    <row r="105" spans="1:14" x14ac:dyDescent="0.3">
      <c r="A105" s="4"/>
      <c r="B105" s="4"/>
      <c r="C105" s="4"/>
      <c r="D105" s="4"/>
      <c r="E105" s="3"/>
      <c r="F105" s="2"/>
      <c r="G105" s="2"/>
      <c r="H105" s="2"/>
      <c r="I105" s="2"/>
      <c r="J105" s="2"/>
      <c r="K105" s="2"/>
      <c r="L105" s="2"/>
      <c r="M105" s="2"/>
      <c r="N105" s="4"/>
    </row>
    <row r="106" spans="1:14" x14ac:dyDescent="0.3">
      <c r="A106" s="4"/>
      <c r="B106" s="4"/>
      <c r="C106" s="4"/>
      <c r="D106" s="4"/>
      <c r="E106" s="3"/>
      <c r="F106" s="2"/>
      <c r="G106" s="2"/>
      <c r="H106" s="2"/>
      <c r="I106" s="2"/>
      <c r="J106" s="2"/>
      <c r="K106" s="2"/>
      <c r="L106" s="2"/>
      <c r="M106" s="2"/>
      <c r="N106" s="4"/>
    </row>
    <row r="107" spans="1:14" x14ac:dyDescent="0.3">
      <c r="A107" s="4"/>
      <c r="B107" s="4"/>
      <c r="C107" s="4"/>
      <c r="D107" s="4"/>
      <c r="E107" s="3"/>
      <c r="F107" s="2"/>
      <c r="G107" s="2"/>
      <c r="H107" s="2"/>
      <c r="I107" s="2"/>
      <c r="J107" s="2"/>
      <c r="K107" s="2"/>
      <c r="L107" s="2"/>
      <c r="M107" s="2"/>
      <c r="N107" s="4"/>
    </row>
    <row r="108" spans="1:14" x14ac:dyDescent="0.3">
      <c r="A108" s="4"/>
      <c r="B108" s="4"/>
      <c r="C108" s="4"/>
      <c r="D108" s="4"/>
      <c r="E108" s="3"/>
      <c r="F108" s="2"/>
      <c r="G108" s="2"/>
      <c r="H108" s="2"/>
      <c r="I108" s="2"/>
      <c r="J108" s="2"/>
      <c r="K108" s="2"/>
      <c r="L108" s="2"/>
      <c r="M108" s="2"/>
      <c r="N108" s="4"/>
    </row>
    <row r="109" spans="1:14" x14ac:dyDescent="0.3">
      <c r="A109" s="4"/>
      <c r="B109" s="4"/>
      <c r="C109" s="4"/>
      <c r="D109" s="4"/>
      <c r="E109" s="3"/>
      <c r="F109" s="2"/>
      <c r="G109" s="2"/>
      <c r="H109" s="2"/>
      <c r="I109" s="2"/>
      <c r="J109" s="2"/>
      <c r="K109" s="2"/>
      <c r="L109" s="2"/>
      <c r="M109" s="2"/>
      <c r="N109" s="4"/>
    </row>
    <row r="110" spans="1:14" x14ac:dyDescent="0.3">
      <c r="A110" s="4"/>
      <c r="B110" s="4"/>
      <c r="C110" s="4"/>
      <c r="D110" s="4"/>
      <c r="E110" s="3"/>
      <c r="F110" s="2"/>
      <c r="G110" s="2"/>
      <c r="H110" s="2"/>
      <c r="I110" s="2"/>
      <c r="J110" s="2"/>
      <c r="K110" s="2"/>
      <c r="L110" s="2"/>
      <c r="M110" s="2"/>
      <c r="N110" s="4"/>
    </row>
    <row r="111" spans="1:14" x14ac:dyDescent="0.3">
      <c r="A111" s="4"/>
      <c r="B111" s="4"/>
      <c r="C111" s="4"/>
      <c r="D111" s="4"/>
      <c r="E111" s="3"/>
      <c r="F111" s="2"/>
      <c r="G111" s="2"/>
      <c r="H111" s="2"/>
      <c r="I111" s="2"/>
      <c r="J111" s="2"/>
      <c r="K111" s="2"/>
      <c r="L111" s="2"/>
      <c r="M111" s="2"/>
      <c r="N111" s="4"/>
    </row>
    <row r="112" spans="1:14" x14ac:dyDescent="0.3">
      <c r="A112" s="4"/>
      <c r="B112" s="4"/>
      <c r="C112" s="4"/>
      <c r="D112" s="4"/>
      <c r="E112" s="3"/>
      <c r="F112" s="2"/>
      <c r="G112" s="2"/>
      <c r="H112" s="2"/>
      <c r="I112" s="2"/>
      <c r="J112" s="2"/>
      <c r="K112" s="2"/>
      <c r="L112" s="2"/>
      <c r="M112" s="2"/>
      <c r="N112" s="4"/>
    </row>
    <row r="113" spans="1:14" x14ac:dyDescent="0.3">
      <c r="A113" s="4"/>
      <c r="B113" s="4"/>
      <c r="C113" s="4"/>
      <c r="D113" s="4"/>
      <c r="E113" s="3"/>
      <c r="F113" s="2"/>
      <c r="G113" s="2"/>
      <c r="H113" s="2"/>
      <c r="I113" s="2"/>
      <c r="J113" s="2"/>
      <c r="K113" s="2"/>
      <c r="L113" s="2"/>
      <c r="M113" s="2"/>
      <c r="N113" s="4"/>
    </row>
    <row r="114" spans="1:14" x14ac:dyDescent="0.3">
      <c r="A114" s="4"/>
      <c r="B114" s="4"/>
      <c r="C114" s="4"/>
      <c r="D114" s="4"/>
      <c r="E114" s="3"/>
      <c r="F114" s="2"/>
      <c r="G114" s="2"/>
      <c r="H114" s="2"/>
      <c r="I114" s="2"/>
      <c r="J114" s="2"/>
      <c r="K114" s="2"/>
      <c r="L114" s="2"/>
      <c r="M114" s="2"/>
      <c r="N114" s="4"/>
    </row>
    <row r="115" spans="1:14" x14ac:dyDescent="0.3">
      <c r="A115" s="4"/>
      <c r="B115" s="4"/>
      <c r="C115" s="4"/>
      <c r="D115" s="4"/>
      <c r="E115" s="3"/>
      <c r="F115" s="2"/>
      <c r="G115" s="2"/>
      <c r="H115" s="2"/>
      <c r="I115" s="2"/>
      <c r="J115" s="2"/>
      <c r="K115" s="2"/>
      <c r="L115" s="2"/>
      <c r="M115" s="2"/>
      <c r="N115" s="4"/>
    </row>
    <row r="116" spans="1:14" x14ac:dyDescent="0.3">
      <c r="A116" s="4"/>
      <c r="B116" s="4"/>
      <c r="C116" s="4"/>
      <c r="D116" s="4"/>
      <c r="E116" s="3"/>
      <c r="F116" s="2"/>
      <c r="G116" s="2"/>
      <c r="H116" s="2"/>
      <c r="I116" s="2"/>
      <c r="J116" s="2"/>
      <c r="K116" s="2"/>
      <c r="L116" s="2"/>
      <c r="M116" s="2"/>
      <c r="N116" s="4"/>
    </row>
    <row r="117" spans="1:14" x14ac:dyDescent="0.3">
      <c r="A117" s="4"/>
      <c r="B117" s="4"/>
      <c r="C117" s="4"/>
      <c r="D117" s="4"/>
      <c r="E117" s="3"/>
      <c r="F117" s="2"/>
      <c r="G117" s="2"/>
      <c r="H117" s="2"/>
      <c r="I117" s="2"/>
      <c r="J117" s="2"/>
      <c r="K117" s="2"/>
      <c r="L117" s="2"/>
      <c r="M117" s="2"/>
      <c r="N117" s="4"/>
    </row>
    <row r="118" spans="1:14" x14ac:dyDescent="0.3">
      <c r="A118" s="4"/>
      <c r="B118" s="4"/>
      <c r="C118" s="4"/>
      <c r="D118" s="4"/>
      <c r="E118" s="3"/>
      <c r="F118" s="2"/>
      <c r="G118" s="2"/>
      <c r="H118" s="2"/>
      <c r="I118" s="2"/>
      <c r="J118" s="2"/>
      <c r="K118" s="2"/>
      <c r="L118" s="2"/>
      <c r="M118" s="2"/>
      <c r="N118" s="4"/>
    </row>
    <row r="119" spans="1:14" x14ac:dyDescent="0.3">
      <c r="A119" s="4"/>
      <c r="B119" s="4"/>
      <c r="C119" s="4"/>
      <c r="D119" s="4"/>
      <c r="E119" s="3"/>
      <c r="F119" s="2"/>
      <c r="G119" s="2"/>
      <c r="H119" s="2"/>
      <c r="I119" s="2"/>
      <c r="J119" s="2"/>
      <c r="K119" s="2"/>
      <c r="L119" s="2"/>
      <c r="M119" s="2"/>
      <c r="N119" s="4"/>
    </row>
    <row r="120" spans="1:14" x14ac:dyDescent="0.3">
      <c r="A120" s="4"/>
      <c r="B120" s="4"/>
      <c r="C120" s="4"/>
      <c r="D120" s="4"/>
      <c r="E120" s="3"/>
      <c r="F120" s="2"/>
      <c r="G120" s="2"/>
      <c r="H120" s="2"/>
      <c r="I120" s="2"/>
      <c r="J120" s="2"/>
      <c r="K120" s="2"/>
      <c r="L120" s="2"/>
      <c r="M120" s="2"/>
      <c r="N120" s="4"/>
    </row>
    <row r="121" spans="1:14" x14ac:dyDescent="0.3">
      <c r="A121" s="4"/>
      <c r="B121" s="4"/>
      <c r="C121" s="4"/>
      <c r="D121" s="4"/>
      <c r="E121" s="3"/>
      <c r="F121" s="2"/>
      <c r="G121" s="2"/>
      <c r="H121" s="2"/>
      <c r="I121" s="2"/>
      <c r="J121" s="2"/>
      <c r="K121" s="2"/>
      <c r="L121" s="2"/>
      <c r="M121" s="2"/>
      <c r="N121" s="4"/>
    </row>
    <row r="122" spans="1:14" x14ac:dyDescent="0.3">
      <c r="A122" s="4"/>
      <c r="B122" s="4"/>
      <c r="C122" s="4"/>
      <c r="D122" s="4"/>
      <c r="E122" s="3"/>
      <c r="F122" s="2"/>
      <c r="G122" s="2"/>
      <c r="H122" s="2"/>
      <c r="I122" s="2"/>
      <c r="J122" s="2"/>
      <c r="K122" s="2"/>
      <c r="L122" s="2"/>
      <c r="M122" s="2"/>
      <c r="N122" s="4"/>
    </row>
    <row r="123" spans="1:14" x14ac:dyDescent="0.3">
      <c r="A123" s="4"/>
      <c r="B123" s="4"/>
      <c r="C123" s="4"/>
      <c r="D123" s="4"/>
      <c r="E123" s="3"/>
      <c r="F123" s="2"/>
      <c r="G123" s="2"/>
      <c r="H123" s="2"/>
      <c r="I123" s="2"/>
      <c r="J123" s="2"/>
      <c r="K123" s="2"/>
      <c r="L123" s="2"/>
      <c r="M123" s="2"/>
      <c r="N123" s="4"/>
    </row>
    <row r="124" spans="1:14" x14ac:dyDescent="0.3">
      <c r="A124" s="4"/>
      <c r="B124" s="4"/>
      <c r="C124" s="4"/>
      <c r="D124" s="4"/>
      <c r="E124" s="3"/>
      <c r="F124" s="2"/>
      <c r="G124" s="2"/>
      <c r="H124" s="2"/>
      <c r="I124" s="2"/>
      <c r="J124" s="2"/>
      <c r="K124" s="2"/>
      <c r="L124" s="2"/>
      <c r="M124" s="2"/>
      <c r="N124" s="4"/>
    </row>
    <row r="125" spans="1:14" x14ac:dyDescent="0.3">
      <c r="A125" s="4"/>
      <c r="B125" s="4"/>
      <c r="C125" s="4"/>
      <c r="D125" s="4"/>
      <c r="E125" s="3"/>
      <c r="F125" s="2"/>
      <c r="G125" s="2"/>
      <c r="H125" s="2"/>
      <c r="I125" s="2"/>
      <c r="J125" s="2"/>
      <c r="K125" s="2"/>
      <c r="L125" s="2"/>
      <c r="M125" s="2"/>
      <c r="N125" s="4"/>
    </row>
    <row r="126" spans="1:14" x14ac:dyDescent="0.3">
      <c r="A126" s="4"/>
      <c r="B126" s="4"/>
      <c r="C126" s="4"/>
      <c r="D126" s="4"/>
      <c r="E126" s="3"/>
      <c r="F126" s="2"/>
      <c r="G126" s="2"/>
      <c r="H126" s="2"/>
      <c r="I126" s="2"/>
      <c r="J126" s="2"/>
      <c r="K126" s="2"/>
      <c r="L126" s="2"/>
      <c r="M126" s="2"/>
      <c r="N126" s="4"/>
    </row>
    <row r="127" spans="1:14" x14ac:dyDescent="0.3">
      <c r="A127" s="4"/>
      <c r="B127" s="4"/>
      <c r="C127" s="4"/>
      <c r="D127" s="4"/>
      <c r="E127" s="3"/>
      <c r="F127" s="2"/>
      <c r="G127" s="2"/>
      <c r="H127" s="2"/>
      <c r="I127" s="2"/>
      <c r="J127" s="2"/>
      <c r="K127" s="2"/>
      <c r="L127" s="2"/>
      <c r="M127" s="2"/>
      <c r="N127" s="4"/>
    </row>
    <row r="128" spans="1:14" x14ac:dyDescent="0.3">
      <c r="A128" s="4"/>
      <c r="B128" s="4"/>
      <c r="C128" s="4"/>
      <c r="D128" s="4"/>
      <c r="E128" s="3"/>
      <c r="F128" s="2"/>
      <c r="G128" s="2"/>
      <c r="H128" s="2"/>
      <c r="I128" s="2"/>
      <c r="J128" s="2"/>
      <c r="K128" s="2"/>
      <c r="L128" s="2"/>
      <c r="M128" s="2"/>
      <c r="N128" s="4"/>
    </row>
    <row r="129" spans="1:14" x14ac:dyDescent="0.3">
      <c r="A129" s="4"/>
      <c r="B129" s="4"/>
      <c r="C129" s="4"/>
      <c r="D129" s="4"/>
      <c r="E129" s="3"/>
      <c r="F129" s="2"/>
      <c r="G129" s="2"/>
      <c r="H129" s="2"/>
      <c r="I129" s="2"/>
      <c r="J129" s="2"/>
      <c r="K129" s="2"/>
      <c r="L129" s="2"/>
      <c r="M129" s="2"/>
      <c r="N129" s="4"/>
    </row>
    <row r="130" spans="1:14" x14ac:dyDescent="0.3">
      <c r="A130" s="4"/>
      <c r="B130" s="4"/>
      <c r="C130" s="4"/>
      <c r="D130" s="4"/>
      <c r="E130" s="3"/>
      <c r="F130" s="2"/>
      <c r="G130" s="2"/>
      <c r="H130" s="2"/>
      <c r="I130" s="2"/>
      <c r="J130" s="2"/>
      <c r="K130" s="2"/>
      <c r="L130" s="2"/>
      <c r="M130" s="2"/>
      <c r="N130" s="4"/>
    </row>
    <row r="131" spans="1:14" x14ac:dyDescent="0.3">
      <c r="A131" s="4"/>
      <c r="B131" s="4"/>
      <c r="C131" s="4"/>
      <c r="D131" s="4"/>
      <c r="E131" s="3"/>
      <c r="F131" s="2"/>
      <c r="G131" s="2"/>
      <c r="H131" s="2"/>
      <c r="I131" s="2"/>
      <c r="J131" s="2"/>
      <c r="K131" s="2"/>
      <c r="L131" s="2"/>
      <c r="M131" s="2"/>
      <c r="N131" s="4"/>
    </row>
    <row r="132" spans="1:14" x14ac:dyDescent="0.3">
      <c r="A132" s="4"/>
      <c r="B132" s="4"/>
      <c r="C132" s="4"/>
      <c r="D132" s="4"/>
      <c r="E132" s="3"/>
      <c r="F132" s="2"/>
      <c r="G132" s="2"/>
      <c r="H132" s="2"/>
      <c r="I132" s="2"/>
      <c r="J132" s="2"/>
      <c r="K132" s="2"/>
      <c r="L132" s="2"/>
      <c r="M132" s="2"/>
      <c r="N132" s="4"/>
    </row>
    <row r="133" spans="1:14" x14ac:dyDescent="0.3">
      <c r="A133" s="4"/>
      <c r="B133" s="4"/>
      <c r="C133" s="4"/>
      <c r="D133" s="4"/>
      <c r="E133" s="3"/>
      <c r="F133" s="2"/>
      <c r="G133" s="2"/>
      <c r="H133" s="2"/>
      <c r="I133" s="2"/>
      <c r="J133" s="2"/>
      <c r="K133" s="2"/>
      <c r="L133" s="2"/>
      <c r="M133" s="2"/>
      <c r="N133" s="4"/>
    </row>
    <row r="134" spans="1:14" x14ac:dyDescent="0.3">
      <c r="A134" s="4"/>
      <c r="B134" s="4"/>
      <c r="C134" s="4"/>
      <c r="D134" s="4"/>
      <c r="E134" s="3"/>
      <c r="F134" s="2"/>
      <c r="G134" s="2"/>
      <c r="H134" s="2"/>
      <c r="I134" s="2"/>
      <c r="J134" s="2"/>
      <c r="K134" s="2"/>
      <c r="L134" s="2"/>
      <c r="M134" s="2"/>
      <c r="N134" s="4"/>
    </row>
    <row r="135" spans="1:14" x14ac:dyDescent="0.3">
      <c r="A135" s="4"/>
      <c r="B135" s="4"/>
      <c r="C135" s="4"/>
      <c r="D135" s="4"/>
      <c r="E135" s="3"/>
      <c r="F135" s="2"/>
      <c r="G135" s="2"/>
      <c r="H135" s="2"/>
      <c r="I135" s="2"/>
      <c r="J135" s="2"/>
      <c r="K135" s="2"/>
      <c r="L135" s="2"/>
      <c r="M135" s="2"/>
      <c r="N135" s="4"/>
    </row>
    <row r="136" spans="1:14" x14ac:dyDescent="0.3">
      <c r="A136" s="4"/>
      <c r="B136" s="4"/>
      <c r="C136" s="4"/>
      <c r="D136" s="4"/>
      <c r="E136" s="3"/>
      <c r="F136" s="2"/>
      <c r="G136" s="2"/>
      <c r="H136" s="2"/>
      <c r="I136" s="2"/>
      <c r="J136" s="2"/>
      <c r="K136" s="2"/>
      <c r="L136" s="2"/>
      <c r="M136" s="2"/>
      <c r="N136" s="4"/>
    </row>
    <row r="137" spans="1:14" x14ac:dyDescent="0.3">
      <c r="A137" s="4"/>
      <c r="B137" s="4"/>
      <c r="C137" s="4"/>
      <c r="D137" s="4"/>
      <c r="E137" s="3"/>
      <c r="F137" s="2"/>
      <c r="G137" s="2"/>
      <c r="H137" s="2"/>
      <c r="I137" s="2"/>
      <c r="J137" s="2"/>
      <c r="K137" s="2"/>
      <c r="L137" s="2"/>
      <c r="M137" s="2"/>
      <c r="N137" s="4"/>
    </row>
    <row r="138" spans="1:14" x14ac:dyDescent="0.3">
      <c r="A138" s="4"/>
      <c r="B138" s="4"/>
      <c r="C138" s="4"/>
      <c r="D138" s="4"/>
      <c r="E138" s="3"/>
      <c r="F138" s="2"/>
      <c r="G138" s="2"/>
      <c r="H138" s="2"/>
      <c r="I138" s="2"/>
      <c r="J138" s="2"/>
      <c r="K138" s="2"/>
      <c r="L138" s="2"/>
      <c r="M138" s="2"/>
      <c r="N138" s="4"/>
    </row>
    <row r="139" spans="1:14" x14ac:dyDescent="0.3">
      <c r="A139" s="4"/>
      <c r="B139" s="4"/>
      <c r="C139" s="4"/>
      <c r="D139" s="4"/>
      <c r="E139" s="3"/>
      <c r="F139" s="2"/>
      <c r="G139" s="2"/>
      <c r="H139" s="2"/>
      <c r="I139" s="2"/>
      <c r="J139" s="2"/>
      <c r="K139" s="2"/>
      <c r="L139" s="2"/>
      <c r="M139" s="2"/>
      <c r="N139" s="4"/>
    </row>
    <row r="140" spans="1:14" x14ac:dyDescent="0.3">
      <c r="A140" s="4"/>
      <c r="B140" s="4"/>
      <c r="C140" s="4"/>
      <c r="D140" s="4"/>
      <c r="E140" s="3"/>
      <c r="F140" s="2"/>
      <c r="G140" s="2"/>
      <c r="H140" s="2"/>
      <c r="I140" s="2"/>
      <c r="J140" s="2"/>
      <c r="K140" s="2"/>
      <c r="L140" s="2"/>
      <c r="M140" s="2"/>
      <c r="N140" s="4"/>
    </row>
    <row r="141" spans="1:14" x14ac:dyDescent="0.3">
      <c r="A141" s="4"/>
      <c r="B141" s="4"/>
      <c r="C141" s="4"/>
      <c r="D141" s="4"/>
      <c r="E141" s="3"/>
      <c r="F141" s="2"/>
      <c r="G141" s="2"/>
      <c r="H141" s="2"/>
      <c r="I141" s="2"/>
      <c r="J141" s="2"/>
      <c r="K141" s="2"/>
      <c r="L141" s="2"/>
      <c r="M141" s="2"/>
      <c r="N141" s="4"/>
    </row>
    <row r="142" spans="1:14" x14ac:dyDescent="0.3">
      <c r="A142" s="4"/>
      <c r="B142" s="4"/>
      <c r="C142" s="4"/>
      <c r="D142" s="4"/>
      <c r="E142" s="3"/>
      <c r="F142" s="2"/>
      <c r="G142" s="2"/>
      <c r="H142" s="2"/>
      <c r="I142" s="2"/>
      <c r="J142" s="2"/>
      <c r="K142" s="2"/>
      <c r="L142" s="2"/>
      <c r="M142" s="2"/>
      <c r="N142" s="4"/>
    </row>
    <row r="143" spans="1:14" x14ac:dyDescent="0.3">
      <c r="A143" s="4"/>
      <c r="B143" s="4"/>
      <c r="C143" s="4"/>
      <c r="D143" s="4"/>
      <c r="E143" s="3"/>
      <c r="F143" s="2"/>
      <c r="G143" s="2"/>
      <c r="H143" s="2"/>
      <c r="I143" s="2"/>
      <c r="J143" s="2"/>
      <c r="K143" s="2"/>
      <c r="L143" s="2"/>
      <c r="M143" s="2"/>
      <c r="N143" s="4"/>
    </row>
    <row r="144" spans="1:14" x14ac:dyDescent="0.3">
      <c r="A144" s="4"/>
      <c r="B144" s="4"/>
      <c r="C144" s="4"/>
      <c r="D144" s="4"/>
      <c r="E144" s="3"/>
      <c r="F144" s="2"/>
      <c r="G144" s="2"/>
      <c r="H144" s="2"/>
      <c r="I144" s="2"/>
      <c r="J144" s="2"/>
      <c r="K144" s="2"/>
      <c r="L144" s="2"/>
      <c r="M144" s="2"/>
      <c r="N144" s="4"/>
    </row>
    <row r="145" spans="1:14" x14ac:dyDescent="0.3">
      <c r="A145" s="4"/>
      <c r="B145" s="4"/>
      <c r="C145" s="4"/>
      <c r="D145" s="4"/>
      <c r="E145" s="3"/>
      <c r="F145" s="2"/>
      <c r="G145" s="2"/>
      <c r="H145" s="2"/>
      <c r="I145" s="2"/>
      <c r="J145" s="2"/>
      <c r="K145" s="2"/>
      <c r="L145" s="2"/>
      <c r="M145" s="2"/>
      <c r="N145" s="4"/>
    </row>
    <row r="146" spans="1:14" x14ac:dyDescent="0.3">
      <c r="A146" s="4"/>
      <c r="B146" s="4"/>
      <c r="C146" s="4"/>
      <c r="D146" s="4"/>
      <c r="E146" s="3"/>
      <c r="F146" s="2"/>
      <c r="G146" s="2"/>
      <c r="H146" s="2"/>
      <c r="I146" s="2"/>
      <c r="J146" s="2"/>
      <c r="K146" s="2"/>
      <c r="L146" s="2"/>
      <c r="M146" s="2"/>
      <c r="N146" s="4"/>
    </row>
    <row r="147" spans="1:14" x14ac:dyDescent="0.3">
      <c r="A147" s="4"/>
      <c r="B147" s="4"/>
      <c r="C147" s="4"/>
      <c r="D147" s="4"/>
      <c r="E147" s="3"/>
      <c r="F147" s="2"/>
      <c r="G147" s="2"/>
      <c r="H147" s="2"/>
      <c r="I147" s="2"/>
      <c r="J147" s="2"/>
      <c r="K147" s="2"/>
      <c r="L147" s="2"/>
      <c r="M147" s="2"/>
      <c r="N147" s="4"/>
    </row>
    <row r="148" spans="1:14" x14ac:dyDescent="0.3">
      <c r="A148" s="4"/>
      <c r="B148" s="4"/>
      <c r="C148" s="4"/>
      <c r="D148" s="4"/>
      <c r="E148" s="3"/>
      <c r="F148" s="2"/>
      <c r="G148" s="2"/>
      <c r="H148" s="2"/>
      <c r="I148" s="2"/>
      <c r="J148" s="2"/>
      <c r="K148" s="2"/>
      <c r="L148" s="2"/>
      <c r="M148" s="2"/>
      <c r="N148" s="4"/>
    </row>
    <row r="149" spans="1:14" x14ac:dyDescent="0.3">
      <c r="A149" s="4"/>
      <c r="B149" s="4"/>
      <c r="C149" s="4"/>
      <c r="D149" s="4"/>
      <c r="E149" s="3"/>
      <c r="F149" s="2"/>
      <c r="G149" s="2"/>
      <c r="H149" s="2"/>
      <c r="I149" s="2"/>
      <c r="J149" s="2"/>
      <c r="K149" s="2"/>
      <c r="L149" s="2"/>
      <c r="M149" s="2"/>
      <c r="N149" s="4"/>
    </row>
    <row r="150" spans="1:14" x14ac:dyDescent="0.3">
      <c r="A150" s="4"/>
      <c r="B150" s="4"/>
      <c r="C150" s="4"/>
      <c r="D150" s="4"/>
      <c r="E150" s="3"/>
      <c r="F150" s="2"/>
      <c r="G150" s="2"/>
      <c r="H150" s="2"/>
      <c r="I150" s="2"/>
      <c r="J150" s="2"/>
      <c r="K150" s="2"/>
      <c r="L150" s="2"/>
      <c r="M150" s="2"/>
      <c r="N150" s="4"/>
    </row>
    <row r="151" spans="1:14" x14ac:dyDescent="0.3">
      <c r="A151" s="4"/>
      <c r="B151" s="4"/>
      <c r="C151" s="4"/>
      <c r="D151" s="4"/>
      <c r="E151" s="3"/>
      <c r="F151" s="2"/>
      <c r="G151" s="2"/>
      <c r="H151" s="2"/>
      <c r="I151" s="2"/>
      <c r="J151" s="2"/>
      <c r="K151" s="2"/>
      <c r="L151" s="2"/>
      <c r="M151" s="2"/>
      <c r="N151" s="4"/>
    </row>
    <row r="152" spans="1:14" x14ac:dyDescent="0.3">
      <c r="A152" s="4"/>
      <c r="B152" s="4"/>
      <c r="C152" s="4"/>
      <c r="D152" s="4"/>
      <c r="E152" s="3"/>
      <c r="F152" s="2"/>
      <c r="G152" s="2"/>
      <c r="H152" s="2"/>
      <c r="I152" s="2"/>
      <c r="J152" s="2"/>
      <c r="K152" s="2"/>
      <c r="L152" s="2"/>
      <c r="M152" s="2"/>
      <c r="N152" s="4"/>
    </row>
    <row r="153" spans="1:14" x14ac:dyDescent="0.3">
      <c r="A153" s="4"/>
      <c r="B153" s="4"/>
      <c r="C153" s="4"/>
      <c r="D153" s="4"/>
      <c r="E153" s="3"/>
      <c r="F153" s="2"/>
      <c r="G153" s="2"/>
      <c r="H153" s="2"/>
      <c r="I153" s="2"/>
      <c r="J153" s="2"/>
      <c r="K153" s="2"/>
      <c r="L153" s="2"/>
      <c r="M153" s="2"/>
      <c r="N153" s="4"/>
    </row>
    <row r="154" spans="1:14" x14ac:dyDescent="0.3">
      <c r="A154" s="4"/>
      <c r="B154" s="4"/>
      <c r="C154" s="4"/>
      <c r="D154" s="4"/>
      <c r="E154" s="3"/>
      <c r="F154" s="2"/>
      <c r="G154" s="2"/>
      <c r="H154" s="2"/>
      <c r="I154" s="2"/>
      <c r="J154" s="2"/>
      <c r="K154" s="2"/>
      <c r="L154" s="2"/>
      <c r="M154" s="2"/>
      <c r="N154" s="4"/>
    </row>
    <row r="155" spans="1:14" x14ac:dyDescent="0.3">
      <c r="A155" s="4"/>
      <c r="B155" s="4"/>
      <c r="C155" s="4"/>
      <c r="D155" s="4"/>
      <c r="E155" s="3"/>
      <c r="F155" s="2"/>
      <c r="G155" s="2"/>
      <c r="H155" s="2"/>
      <c r="I155" s="2"/>
      <c r="J155" s="2"/>
      <c r="K155" s="2"/>
      <c r="L155" s="2"/>
      <c r="M155" s="2"/>
      <c r="N155" s="4"/>
    </row>
    <row r="156" spans="1:14" x14ac:dyDescent="0.3">
      <c r="A156" s="4"/>
      <c r="B156" s="4"/>
      <c r="C156" s="4"/>
      <c r="D156" s="4"/>
      <c r="E156" s="3"/>
      <c r="F156" s="2"/>
      <c r="G156" s="2"/>
      <c r="H156" s="2"/>
      <c r="I156" s="2"/>
      <c r="J156" s="2"/>
      <c r="K156" s="2"/>
      <c r="L156" s="2"/>
      <c r="M156" s="2"/>
      <c r="N156" s="4"/>
    </row>
    <row r="157" spans="1:14" x14ac:dyDescent="0.3">
      <c r="A157" s="4"/>
      <c r="B157" s="4"/>
      <c r="C157" s="4"/>
      <c r="D157" s="4"/>
      <c r="E157" s="3"/>
      <c r="F157" s="2"/>
      <c r="G157" s="2"/>
      <c r="H157" s="2"/>
      <c r="I157" s="2"/>
      <c r="J157" s="2"/>
      <c r="K157" s="2"/>
      <c r="L157" s="2"/>
      <c r="M157" s="2"/>
      <c r="N157" s="4"/>
    </row>
    <row r="158" spans="1:14" x14ac:dyDescent="0.3">
      <c r="A158" s="4"/>
      <c r="B158" s="4"/>
      <c r="C158" s="4"/>
      <c r="D158" s="4"/>
      <c r="E158" s="3"/>
      <c r="F158" s="2"/>
      <c r="G158" s="2"/>
      <c r="H158" s="2"/>
      <c r="I158" s="2"/>
      <c r="J158" s="2"/>
      <c r="K158" s="2"/>
      <c r="L158" s="2"/>
      <c r="M158" s="2"/>
      <c r="N158" s="4"/>
    </row>
    <row r="159" spans="1:14" x14ac:dyDescent="0.3">
      <c r="A159" s="4"/>
      <c r="B159" s="4"/>
      <c r="C159" s="4"/>
      <c r="D159" s="4"/>
      <c r="E159" s="3"/>
      <c r="F159" s="2"/>
      <c r="G159" s="2"/>
      <c r="H159" s="2"/>
      <c r="I159" s="2"/>
      <c r="J159" s="2"/>
      <c r="K159" s="2"/>
      <c r="L159" s="2"/>
      <c r="M159" s="2"/>
      <c r="N159" s="4"/>
    </row>
    <row r="160" spans="1:14" x14ac:dyDescent="0.3">
      <c r="A160" s="4"/>
      <c r="B160" s="4"/>
      <c r="C160" s="4"/>
      <c r="D160" s="4"/>
      <c r="E160" s="3"/>
      <c r="F160" s="2"/>
      <c r="G160" s="2"/>
      <c r="H160" s="2"/>
      <c r="I160" s="2"/>
      <c r="J160" s="2"/>
      <c r="K160" s="2"/>
      <c r="L160" s="2"/>
      <c r="M160" s="2"/>
      <c r="N160" s="4"/>
    </row>
    <row r="161" spans="1:14" x14ac:dyDescent="0.3">
      <c r="A161" s="4"/>
      <c r="B161" s="4"/>
      <c r="C161" s="4"/>
      <c r="D161" s="4"/>
      <c r="E161" s="3"/>
      <c r="F161" s="2"/>
      <c r="G161" s="2"/>
      <c r="H161" s="2"/>
      <c r="I161" s="2"/>
      <c r="J161" s="2"/>
      <c r="K161" s="2"/>
      <c r="L161" s="2"/>
      <c r="M161" s="2"/>
      <c r="N161" s="4"/>
    </row>
    <row r="162" spans="1:14" x14ac:dyDescent="0.3">
      <c r="A162" s="4"/>
      <c r="B162" s="4"/>
      <c r="C162" s="4"/>
      <c r="D162" s="4"/>
      <c r="E162" s="3"/>
      <c r="F162" s="2"/>
      <c r="G162" s="2"/>
      <c r="H162" s="2"/>
      <c r="I162" s="2"/>
      <c r="J162" s="2"/>
      <c r="K162" s="2"/>
      <c r="L162" s="2"/>
      <c r="M162" s="2"/>
      <c r="N162" s="4"/>
    </row>
    <row r="163" spans="1:14" x14ac:dyDescent="0.3">
      <c r="A163" s="4"/>
      <c r="B163" s="4"/>
      <c r="C163" s="4"/>
      <c r="D163" s="4"/>
      <c r="E163" s="3"/>
      <c r="F163" s="2"/>
      <c r="G163" s="2"/>
      <c r="H163" s="2"/>
      <c r="I163" s="2"/>
      <c r="J163" s="2"/>
      <c r="K163" s="2"/>
      <c r="L163" s="2"/>
      <c r="M163" s="2"/>
      <c r="N163" s="4"/>
    </row>
    <row r="164" spans="1:14" x14ac:dyDescent="0.3">
      <c r="A164" s="4"/>
      <c r="B164" s="4"/>
      <c r="C164" s="4"/>
      <c r="D164" s="4"/>
      <c r="E164" s="3"/>
      <c r="F164" s="2"/>
      <c r="G164" s="2"/>
      <c r="H164" s="2"/>
      <c r="I164" s="2"/>
      <c r="J164" s="2"/>
      <c r="K164" s="2"/>
      <c r="L164" s="2"/>
      <c r="M164" s="2"/>
      <c r="N164" s="4"/>
    </row>
    <row r="165" spans="1:14" x14ac:dyDescent="0.3">
      <c r="A165" s="4"/>
      <c r="B165" s="4"/>
      <c r="C165" s="4"/>
      <c r="D165" s="4"/>
      <c r="E165" s="3"/>
      <c r="F165" s="2"/>
      <c r="G165" s="2"/>
      <c r="H165" s="2"/>
      <c r="I165" s="2"/>
      <c r="J165" s="2"/>
      <c r="K165" s="2"/>
      <c r="L165" s="2"/>
      <c r="M165" s="2"/>
      <c r="N165" s="4"/>
    </row>
    <row r="166" spans="1:14" x14ac:dyDescent="0.3">
      <c r="A166" s="4"/>
      <c r="B166" s="4"/>
      <c r="C166" s="4"/>
      <c r="D166" s="4"/>
      <c r="E166" s="3"/>
      <c r="F166" s="2"/>
      <c r="G166" s="2"/>
      <c r="H166" s="2"/>
      <c r="I166" s="2"/>
      <c r="J166" s="2"/>
      <c r="K166" s="2"/>
      <c r="L166" s="2"/>
      <c r="M166" s="2"/>
      <c r="N166" s="4"/>
    </row>
    <row r="167" spans="1:14" x14ac:dyDescent="0.3">
      <c r="A167" s="4"/>
      <c r="B167" s="4"/>
      <c r="C167" s="4"/>
      <c r="D167" s="4"/>
      <c r="E167" s="3"/>
      <c r="F167" s="2"/>
      <c r="G167" s="2"/>
      <c r="H167" s="2"/>
      <c r="I167" s="2"/>
      <c r="J167" s="2"/>
      <c r="K167" s="2"/>
      <c r="L167" s="2"/>
      <c r="M167" s="2"/>
      <c r="N167" s="4"/>
    </row>
    <row r="168" spans="1:14" x14ac:dyDescent="0.3">
      <c r="A168" s="4"/>
      <c r="B168" s="4"/>
      <c r="C168" s="4"/>
      <c r="D168" s="4"/>
      <c r="E168" s="3"/>
      <c r="F168" s="2"/>
      <c r="G168" s="2"/>
      <c r="H168" s="2"/>
      <c r="I168" s="2"/>
      <c r="J168" s="2"/>
      <c r="K168" s="2"/>
      <c r="L168" s="2"/>
      <c r="M168" s="2"/>
      <c r="N168" s="4"/>
    </row>
    <row r="169" spans="1:14" x14ac:dyDescent="0.3">
      <c r="A169" s="4"/>
      <c r="B169" s="4"/>
      <c r="C169" s="4"/>
      <c r="D169" s="4"/>
      <c r="E169" s="3"/>
      <c r="F169" s="2"/>
      <c r="G169" s="2"/>
      <c r="H169" s="2"/>
      <c r="I169" s="2"/>
      <c r="J169" s="2"/>
      <c r="K169" s="2"/>
      <c r="L169" s="2"/>
      <c r="M169" s="2"/>
      <c r="N169" s="4"/>
    </row>
    <row r="170" spans="1:14" x14ac:dyDescent="0.3">
      <c r="A170" s="4"/>
      <c r="B170" s="4"/>
      <c r="C170" s="4"/>
      <c r="D170" s="4"/>
      <c r="E170" s="3"/>
      <c r="F170" s="2"/>
      <c r="G170" s="2"/>
      <c r="H170" s="2"/>
      <c r="I170" s="2"/>
      <c r="J170" s="2"/>
      <c r="K170" s="2"/>
      <c r="L170" s="2"/>
      <c r="M170" s="2"/>
      <c r="N170" s="4"/>
    </row>
    <row r="171" spans="1:14" x14ac:dyDescent="0.3">
      <c r="A171" s="4"/>
      <c r="B171" s="4"/>
      <c r="C171" s="4"/>
      <c r="D171" s="4"/>
      <c r="E171" s="3"/>
      <c r="F171" s="2"/>
      <c r="G171" s="2"/>
      <c r="H171" s="2"/>
      <c r="I171" s="2"/>
      <c r="J171" s="2"/>
      <c r="K171" s="2"/>
      <c r="L171" s="2"/>
      <c r="M171" s="2"/>
      <c r="N171" s="4"/>
    </row>
    <row r="172" spans="1:14" x14ac:dyDescent="0.3">
      <c r="A172" s="4"/>
      <c r="B172" s="4"/>
      <c r="C172" s="4"/>
      <c r="D172" s="4"/>
      <c r="E172" s="3"/>
      <c r="F172" s="2"/>
      <c r="G172" s="2"/>
      <c r="H172" s="2"/>
      <c r="I172" s="2"/>
      <c r="J172" s="2"/>
      <c r="K172" s="2"/>
      <c r="L172" s="2"/>
      <c r="M172" s="2"/>
      <c r="N172" s="4"/>
    </row>
    <row r="173" spans="1:14" x14ac:dyDescent="0.3">
      <c r="A173" s="4"/>
      <c r="B173" s="4"/>
      <c r="C173" s="4"/>
      <c r="D173" s="4"/>
      <c r="E173" s="3"/>
      <c r="F173" s="2"/>
      <c r="G173" s="2"/>
      <c r="H173" s="2"/>
      <c r="I173" s="2"/>
      <c r="J173" s="2"/>
      <c r="K173" s="2"/>
      <c r="L173" s="2"/>
      <c r="M173" s="2"/>
      <c r="N173" s="4"/>
    </row>
    <row r="174" spans="1:14" x14ac:dyDescent="0.3">
      <c r="A174" s="4"/>
      <c r="B174" s="4"/>
      <c r="C174" s="4"/>
      <c r="D174" s="4"/>
      <c r="E174" s="3"/>
      <c r="F174" s="2"/>
      <c r="G174" s="2"/>
      <c r="H174" s="2"/>
      <c r="I174" s="2"/>
      <c r="J174" s="2"/>
      <c r="K174" s="2"/>
      <c r="L174" s="2"/>
      <c r="M174" s="2"/>
      <c r="N174" s="4"/>
    </row>
    <row r="175" spans="1:14" x14ac:dyDescent="0.3">
      <c r="A175" s="4"/>
      <c r="B175" s="4"/>
      <c r="C175" s="4"/>
      <c r="D175" s="4"/>
      <c r="E175" s="3"/>
      <c r="F175" s="2"/>
      <c r="G175" s="2"/>
      <c r="H175" s="2"/>
      <c r="I175" s="2"/>
      <c r="J175" s="2"/>
      <c r="K175" s="2"/>
      <c r="L175" s="2"/>
      <c r="M175" s="2"/>
      <c r="N175" s="4"/>
    </row>
    <row r="176" spans="1:14" x14ac:dyDescent="0.3">
      <c r="A176" s="4"/>
      <c r="B176" s="4"/>
      <c r="C176" s="4"/>
      <c r="D176" s="4"/>
      <c r="E176" s="3"/>
      <c r="F176" s="2"/>
      <c r="G176" s="2"/>
      <c r="H176" s="2"/>
      <c r="I176" s="2"/>
      <c r="J176" s="2"/>
      <c r="K176" s="2"/>
      <c r="L176" s="2"/>
      <c r="M176" s="2"/>
      <c r="N176" s="4"/>
    </row>
    <row r="177" spans="1:14" x14ac:dyDescent="0.3">
      <c r="A177" s="4"/>
      <c r="B177" s="4"/>
      <c r="C177" s="4"/>
      <c r="D177" s="4"/>
      <c r="E177" s="3"/>
      <c r="F177" s="2"/>
      <c r="G177" s="2"/>
      <c r="H177" s="2"/>
      <c r="I177" s="2"/>
      <c r="J177" s="2"/>
      <c r="K177" s="2"/>
      <c r="L177" s="2"/>
      <c r="M177" s="2"/>
      <c r="N177" s="4"/>
    </row>
    <row r="178" spans="1:14" x14ac:dyDescent="0.3">
      <c r="A178" s="4"/>
      <c r="B178" s="4"/>
      <c r="C178" s="4"/>
      <c r="D178" s="4"/>
      <c r="E178" s="3"/>
      <c r="F178" s="2"/>
      <c r="G178" s="2"/>
      <c r="H178" s="2"/>
      <c r="I178" s="2"/>
      <c r="J178" s="2"/>
      <c r="K178" s="2"/>
      <c r="L178" s="2"/>
      <c r="M178" s="2"/>
      <c r="N178" s="4"/>
    </row>
    <row r="179" spans="1:14" x14ac:dyDescent="0.3">
      <c r="A179" s="4"/>
      <c r="B179" s="4"/>
      <c r="C179" s="4"/>
      <c r="D179" s="4"/>
      <c r="E179" s="3"/>
      <c r="F179" s="2"/>
      <c r="G179" s="2"/>
      <c r="H179" s="2"/>
      <c r="I179" s="2"/>
      <c r="J179" s="2"/>
      <c r="K179" s="2"/>
      <c r="L179" s="2"/>
      <c r="M179" s="2"/>
      <c r="N179" s="4"/>
    </row>
    <row r="180" spans="1:14" x14ac:dyDescent="0.3">
      <c r="A180" s="4"/>
      <c r="B180" s="4"/>
      <c r="C180" s="4"/>
      <c r="D180" s="4"/>
      <c r="E180" s="3"/>
      <c r="F180" s="2"/>
      <c r="G180" s="2"/>
      <c r="H180" s="2"/>
      <c r="I180" s="2"/>
      <c r="J180" s="2"/>
      <c r="K180" s="2"/>
      <c r="L180" s="2"/>
      <c r="M180" s="2"/>
      <c r="N180" s="4"/>
    </row>
    <row r="181" spans="1:14" x14ac:dyDescent="0.3">
      <c r="A181" s="4"/>
      <c r="B181" s="4"/>
      <c r="C181" s="4"/>
      <c r="D181" s="4"/>
      <c r="E181" s="3"/>
      <c r="F181" s="2"/>
      <c r="G181" s="2"/>
      <c r="H181" s="2"/>
      <c r="I181" s="2"/>
      <c r="J181" s="2"/>
      <c r="K181" s="2"/>
      <c r="L181" s="2"/>
      <c r="M181" s="2"/>
      <c r="N181" s="4"/>
    </row>
    <row r="182" spans="1:14" x14ac:dyDescent="0.3">
      <c r="A182" s="4"/>
      <c r="B182" s="4"/>
      <c r="C182" s="4"/>
      <c r="D182" s="4"/>
      <c r="E182" s="3"/>
      <c r="F182" s="2"/>
      <c r="G182" s="2"/>
      <c r="H182" s="2"/>
      <c r="I182" s="2"/>
      <c r="J182" s="2"/>
      <c r="K182" s="2"/>
      <c r="L182" s="2"/>
      <c r="M182" s="2"/>
      <c r="N182" s="4"/>
    </row>
    <row r="183" spans="1:14" x14ac:dyDescent="0.3">
      <c r="A183" s="4"/>
      <c r="B183" s="4"/>
      <c r="C183" s="4"/>
      <c r="D183" s="4"/>
      <c r="E183" s="3"/>
      <c r="F183" s="2"/>
      <c r="G183" s="2"/>
      <c r="H183" s="2"/>
      <c r="I183" s="2"/>
      <c r="J183" s="2"/>
      <c r="K183" s="2"/>
      <c r="L183" s="2"/>
      <c r="M183" s="2"/>
      <c r="N183" s="4"/>
    </row>
    <row r="184" spans="1:14" x14ac:dyDescent="0.3">
      <c r="A184" s="4"/>
      <c r="B184" s="4"/>
      <c r="C184" s="4"/>
      <c r="D184" s="4"/>
      <c r="E184" s="3"/>
      <c r="F184" s="2"/>
      <c r="G184" s="2"/>
      <c r="H184" s="2"/>
      <c r="I184" s="2"/>
      <c r="J184" s="2"/>
      <c r="K184" s="2"/>
      <c r="L184" s="2"/>
      <c r="M184" s="2"/>
      <c r="N184" s="4"/>
    </row>
    <row r="185" spans="1:14" x14ac:dyDescent="0.3">
      <c r="A185" s="4"/>
      <c r="B185" s="4"/>
      <c r="C185" s="4"/>
      <c r="D185" s="4"/>
      <c r="E185" s="3"/>
      <c r="F185" s="2"/>
      <c r="G185" s="2"/>
      <c r="H185" s="2"/>
      <c r="I185" s="2"/>
      <c r="J185" s="2"/>
      <c r="K185" s="2"/>
      <c r="L185" s="2"/>
      <c r="M185" s="2"/>
      <c r="N185" s="4"/>
    </row>
    <row r="186" spans="1:14" x14ac:dyDescent="0.3">
      <c r="A186" s="4"/>
      <c r="B186" s="4"/>
      <c r="C186" s="4"/>
      <c r="D186" s="4"/>
      <c r="E186" s="3"/>
      <c r="F186" s="2"/>
      <c r="G186" s="2"/>
      <c r="H186" s="2"/>
      <c r="I186" s="2"/>
      <c r="J186" s="2"/>
      <c r="K186" s="2"/>
      <c r="L186" s="2"/>
      <c r="M186" s="2"/>
      <c r="N186" s="4"/>
    </row>
    <row r="187" spans="1:14" x14ac:dyDescent="0.3">
      <c r="A187" s="4"/>
      <c r="B187" s="4"/>
      <c r="C187" s="4"/>
      <c r="D187" s="4"/>
      <c r="E187" s="3"/>
      <c r="F187" s="2"/>
      <c r="G187" s="2"/>
      <c r="H187" s="2"/>
      <c r="I187" s="2"/>
      <c r="J187" s="2"/>
      <c r="K187" s="2"/>
      <c r="L187" s="2"/>
      <c r="M187" s="2"/>
      <c r="N187" s="4"/>
    </row>
    <row r="188" spans="1:14" x14ac:dyDescent="0.3">
      <c r="A188" s="4"/>
      <c r="B188" s="4"/>
      <c r="C188" s="4"/>
      <c r="D188" s="4"/>
      <c r="E188" s="3"/>
      <c r="F188" s="2"/>
      <c r="G188" s="2"/>
      <c r="H188" s="2"/>
      <c r="I188" s="2"/>
      <c r="J188" s="2"/>
      <c r="K188" s="2"/>
      <c r="L188" s="2"/>
      <c r="M188" s="2"/>
      <c r="N188" s="4"/>
    </row>
    <row r="189" spans="1:14" x14ac:dyDescent="0.3">
      <c r="A189" s="4"/>
      <c r="B189" s="4"/>
      <c r="C189" s="4"/>
      <c r="D189" s="4"/>
      <c r="E189" s="3"/>
      <c r="F189" s="2"/>
      <c r="G189" s="2"/>
      <c r="H189" s="2"/>
      <c r="I189" s="2"/>
      <c r="J189" s="2"/>
      <c r="K189" s="2"/>
      <c r="L189" s="2"/>
      <c r="M189" s="2"/>
      <c r="N189" s="4"/>
    </row>
    <row r="190" spans="1:14" x14ac:dyDescent="0.3">
      <c r="A190" s="4"/>
      <c r="B190" s="4"/>
      <c r="C190" s="4"/>
      <c r="D190" s="4"/>
      <c r="E190" s="3"/>
      <c r="F190" s="2"/>
      <c r="G190" s="2"/>
      <c r="H190" s="2"/>
      <c r="I190" s="2"/>
      <c r="J190" s="2"/>
      <c r="K190" s="2"/>
      <c r="L190" s="2"/>
      <c r="M190" s="2"/>
      <c r="N190" s="4"/>
    </row>
    <row r="191" spans="1:14" x14ac:dyDescent="0.3">
      <c r="A191" s="4"/>
      <c r="B191" s="4"/>
      <c r="C191" s="4"/>
      <c r="D191" s="4"/>
      <c r="E191" s="3"/>
      <c r="F191" s="2"/>
      <c r="G191" s="2"/>
      <c r="H191" s="2"/>
      <c r="I191" s="2"/>
      <c r="J191" s="2"/>
      <c r="K191" s="2"/>
      <c r="L191" s="2"/>
      <c r="M191" s="2"/>
      <c r="N191" s="4"/>
    </row>
    <row r="192" spans="1:14" x14ac:dyDescent="0.3">
      <c r="A192" s="4"/>
      <c r="B192" s="4"/>
      <c r="C192" s="4"/>
      <c r="D192" s="4"/>
      <c r="E192" s="3"/>
      <c r="F192" s="2"/>
      <c r="G192" s="2"/>
      <c r="H192" s="2"/>
      <c r="I192" s="2"/>
      <c r="J192" s="2"/>
      <c r="K192" s="2"/>
      <c r="L192" s="2"/>
      <c r="M192" s="2"/>
      <c r="N192" s="4"/>
    </row>
    <row r="193" spans="1:14" x14ac:dyDescent="0.3">
      <c r="A193" s="4"/>
      <c r="B193" s="4"/>
      <c r="C193" s="4"/>
      <c r="D193" s="4"/>
      <c r="E193" s="3"/>
      <c r="F193" s="2"/>
      <c r="G193" s="2"/>
      <c r="H193" s="2"/>
      <c r="I193" s="2"/>
      <c r="J193" s="2"/>
      <c r="K193" s="2"/>
      <c r="L193" s="2"/>
      <c r="M193" s="2"/>
      <c r="N193" s="4"/>
    </row>
    <row r="194" spans="1:14" x14ac:dyDescent="0.3">
      <c r="A194" s="4"/>
      <c r="B194" s="4"/>
      <c r="C194" s="4"/>
      <c r="D194" s="4"/>
      <c r="E194" s="3"/>
      <c r="F194" s="2"/>
      <c r="G194" s="2"/>
      <c r="H194" s="2"/>
      <c r="I194" s="2"/>
      <c r="J194" s="2"/>
      <c r="K194" s="2"/>
      <c r="L194" s="2"/>
      <c r="M194" s="2"/>
      <c r="N194" s="4"/>
    </row>
    <row r="195" spans="1:14" x14ac:dyDescent="0.3">
      <c r="A195" s="4"/>
      <c r="B195" s="4"/>
      <c r="C195" s="4"/>
      <c r="D195" s="4"/>
      <c r="E195" s="3"/>
      <c r="F195" s="2"/>
      <c r="G195" s="2"/>
      <c r="H195" s="2"/>
      <c r="I195" s="2"/>
      <c r="J195" s="2"/>
      <c r="K195" s="2"/>
      <c r="L195" s="2"/>
      <c r="M195" s="2"/>
      <c r="N195" s="4"/>
    </row>
    <row r="196" spans="1:14" x14ac:dyDescent="0.3">
      <c r="A196" s="4"/>
      <c r="B196" s="4"/>
      <c r="C196" s="4"/>
      <c r="D196" s="4"/>
      <c r="E196" s="3"/>
      <c r="F196" s="2"/>
      <c r="G196" s="2"/>
      <c r="H196" s="2"/>
      <c r="I196" s="2"/>
      <c r="J196" s="2"/>
      <c r="K196" s="2"/>
      <c r="L196" s="2"/>
      <c r="M196" s="2"/>
      <c r="N196" s="4"/>
    </row>
    <row r="197" spans="1:14" x14ac:dyDescent="0.3">
      <c r="A197" s="4"/>
      <c r="B197" s="4"/>
      <c r="C197" s="4"/>
      <c r="D197" s="4"/>
      <c r="E197" s="3"/>
      <c r="F197" s="2"/>
      <c r="G197" s="2"/>
      <c r="H197" s="2"/>
      <c r="I197" s="2"/>
      <c r="J197" s="2"/>
      <c r="K197" s="2"/>
      <c r="L197" s="2"/>
      <c r="M197" s="2"/>
      <c r="N197" s="4"/>
    </row>
    <row r="198" spans="1:14" x14ac:dyDescent="0.3">
      <c r="A198" s="4"/>
      <c r="B198" s="4"/>
      <c r="C198" s="4"/>
      <c r="D198" s="4"/>
      <c r="E198" s="3"/>
      <c r="F198" s="2"/>
      <c r="G198" s="2"/>
      <c r="H198" s="2"/>
      <c r="I198" s="2"/>
      <c r="J198" s="2"/>
      <c r="K198" s="2"/>
      <c r="L198" s="2"/>
      <c r="M198" s="2"/>
      <c r="N198" s="4"/>
    </row>
    <row r="199" spans="1:14" x14ac:dyDescent="0.3">
      <c r="A199" s="4"/>
      <c r="B199" s="4"/>
      <c r="C199" s="4"/>
      <c r="D199" s="4"/>
      <c r="E199" s="3"/>
      <c r="F199" s="2"/>
      <c r="G199" s="2"/>
      <c r="H199" s="2"/>
      <c r="I199" s="2"/>
      <c r="J199" s="2"/>
      <c r="K199" s="2"/>
      <c r="L199" s="2"/>
      <c r="M199" s="2"/>
      <c r="N199" s="4"/>
    </row>
    <row r="200" spans="1:14" x14ac:dyDescent="0.3">
      <c r="A200" s="4"/>
      <c r="B200" s="4"/>
      <c r="C200" s="4"/>
      <c r="D200" s="4"/>
      <c r="E200" s="3"/>
      <c r="F200" s="2"/>
      <c r="G200" s="2"/>
      <c r="H200" s="2"/>
      <c r="I200" s="2"/>
      <c r="J200" s="2"/>
      <c r="K200" s="2"/>
      <c r="L200" s="2"/>
      <c r="M200" s="2"/>
      <c r="N200" s="4"/>
    </row>
    <row r="201" spans="1:14" x14ac:dyDescent="0.3">
      <c r="A201" s="4"/>
      <c r="B201" s="4"/>
      <c r="C201" s="4"/>
      <c r="D201" s="4"/>
      <c r="E201" s="3"/>
      <c r="F201" s="2"/>
      <c r="G201" s="2"/>
      <c r="H201" s="2"/>
      <c r="I201" s="2"/>
      <c r="J201" s="2"/>
      <c r="K201" s="2"/>
      <c r="L201" s="2"/>
      <c r="M201" s="2"/>
      <c r="N201" s="4"/>
    </row>
  </sheetData>
  <dataValidations count="2">
    <dataValidation type="list" allowBlank="1" sqref="C2:C1000" xr:uid="{00000000-0002-0000-0800-000000000000}">
      <formula1>"TikTok,Facebook,Khác"</formula1>
    </dataValidation>
    <dataValidation type="list" allowBlank="1" sqref="N2:N1000" xr:uid="{00000000-0002-0000-0800-000001000000}">
      <formula1>"Đề xuất,Đã xác nhận,Đã đăng"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1"/>
  <sheetViews>
    <sheetView showGridLines="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1" customWidth="1"/>
    <col min="2" max="2" width="28" customWidth="1"/>
    <col min="3" max="3" width="16" customWidth="1"/>
    <col min="4" max="5" width="12" customWidth="1"/>
    <col min="6" max="6" width="34" customWidth="1"/>
  </cols>
  <sheetData>
    <row r="1" spans="1:6" ht="31.95" customHeight="1" x14ac:dyDescent="0.3">
      <c r="A1" s="19" t="s">
        <v>0</v>
      </c>
      <c r="B1" s="19" t="s">
        <v>336</v>
      </c>
      <c r="C1" s="19" t="s">
        <v>67</v>
      </c>
      <c r="D1" s="19" t="s">
        <v>337</v>
      </c>
      <c r="E1" s="19" t="s">
        <v>338</v>
      </c>
      <c r="F1" s="19" t="s">
        <v>339</v>
      </c>
    </row>
    <row r="2" spans="1:6" ht="52.8" x14ac:dyDescent="0.3">
      <c r="A2" s="30">
        <v>46296</v>
      </c>
      <c r="B2" s="28" t="s">
        <v>340</v>
      </c>
      <c r="C2" s="28" t="s">
        <v>341</v>
      </c>
      <c r="D2" s="21">
        <v>42</v>
      </c>
      <c r="E2" s="21">
        <v>34</v>
      </c>
      <c r="F2" s="28" t="s">
        <v>342</v>
      </c>
    </row>
    <row r="3" spans="1:6" ht="52.8" x14ac:dyDescent="0.3">
      <c r="A3" s="31">
        <v>46296</v>
      </c>
      <c r="B3" s="29" t="s">
        <v>343</v>
      </c>
      <c r="C3" s="29" t="s">
        <v>344</v>
      </c>
      <c r="D3" s="6">
        <v>31</v>
      </c>
      <c r="E3" s="6">
        <v>25</v>
      </c>
      <c r="F3" s="29" t="s">
        <v>345</v>
      </c>
    </row>
    <row r="4" spans="1:6" ht="52.8" x14ac:dyDescent="0.3">
      <c r="A4" s="30">
        <v>46296</v>
      </c>
      <c r="B4" s="28" t="s">
        <v>346</v>
      </c>
      <c r="C4" s="28" t="s">
        <v>347</v>
      </c>
      <c r="D4" s="21">
        <v>12</v>
      </c>
      <c r="E4" s="21">
        <v>10</v>
      </c>
      <c r="F4" s="28" t="s">
        <v>348</v>
      </c>
    </row>
    <row r="5" spans="1:6" ht="52.8" x14ac:dyDescent="0.3">
      <c r="A5" s="31">
        <v>46297</v>
      </c>
      <c r="B5" s="29" t="s">
        <v>340</v>
      </c>
      <c r="C5" s="29" t="s">
        <v>341</v>
      </c>
      <c r="D5" s="6">
        <v>48</v>
      </c>
      <c r="E5" s="6">
        <v>39</v>
      </c>
      <c r="F5" s="29" t="s">
        <v>349</v>
      </c>
    </row>
    <row r="6" spans="1:6" ht="52.8" x14ac:dyDescent="0.3">
      <c r="A6" s="30">
        <v>46297</v>
      </c>
      <c r="B6" s="28" t="s">
        <v>343</v>
      </c>
      <c r="C6" s="28" t="s">
        <v>344</v>
      </c>
      <c r="D6" s="21">
        <v>35</v>
      </c>
      <c r="E6" s="21">
        <v>29</v>
      </c>
      <c r="F6" s="28" t="s">
        <v>350</v>
      </c>
    </row>
    <row r="7" spans="1:6" ht="52.8" x14ac:dyDescent="0.3">
      <c r="A7" s="31">
        <v>46297</v>
      </c>
      <c r="B7" s="29" t="s">
        <v>346</v>
      </c>
      <c r="C7" s="29" t="s">
        <v>347</v>
      </c>
      <c r="D7" s="6">
        <v>14</v>
      </c>
      <c r="E7" s="6">
        <v>11</v>
      </c>
      <c r="F7" s="29" t="s">
        <v>348</v>
      </c>
    </row>
    <row r="8" spans="1:6" ht="52.8" x14ac:dyDescent="0.3">
      <c r="A8" s="30">
        <v>46298</v>
      </c>
      <c r="B8" s="28" t="s">
        <v>340</v>
      </c>
      <c r="C8" s="28" t="s">
        <v>341</v>
      </c>
      <c r="D8" s="21">
        <v>45</v>
      </c>
      <c r="E8" s="21">
        <v>37</v>
      </c>
      <c r="F8" s="28" t="s">
        <v>349</v>
      </c>
    </row>
    <row r="9" spans="1:6" ht="52.8" x14ac:dyDescent="0.3">
      <c r="A9" s="31">
        <v>46298</v>
      </c>
      <c r="B9" s="29" t="s">
        <v>343</v>
      </c>
      <c r="C9" s="29" t="s">
        <v>344</v>
      </c>
      <c r="D9" s="6">
        <v>33</v>
      </c>
      <c r="E9" s="6">
        <v>27</v>
      </c>
      <c r="F9" s="29" t="s">
        <v>350</v>
      </c>
    </row>
    <row r="10" spans="1:6" ht="52.8" x14ac:dyDescent="0.3">
      <c r="A10" s="30">
        <v>46298</v>
      </c>
      <c r="B10" s="28" t="s">
        <v>346</v>
      </c>
      <c r="C10" s="28" t="s">
        <v>347</v>
      </c>
      <c r="D10" s="21">
        <v>13</v>
      </c>
      <c r="E10" s="21">
        <v>11</v>
      </c>
      <c r="F10" s="28" t="s">
        <v>348</v>
      </c>
    </row>
    <row r="11" spans="1:6" ht="52.8" x14ac:dyDescent="0.3">
      <c r="A11" s="31">
        <v>46299</v>
      </c>
      <c r="B11" s="29" t="s">
        <v>340</v>
      </c>
      <c r="C11" s="29" t="s">
        <v>341</v>
      </c>
      <c r="D11" s="6">
        <v>53</v>
      </c>
      <c r="E11" s="6">
        <v>43</v>
      </c>
      <c r="F11" s="29" t="s">
        <v>342</v>
      </c>
    </row>
    <row r="12" spans="1:6" ht="52.8" x14ac:dyDescent="0.3">
      <c r="A12" s="30">
        <v>46299</v>
      </c>
      <c r="B12" s="28" t="s">
        <v>343</v>
      </c>
      <c r="C12" s="28" t="s">
        <v>344</v>
      </c>
      <c r="D12" s="21">
        <v>38</v>
      </c>
      <c r="E12" s="21">
        <v>31</v>
      </c>
      <c r="F12" s="28" t="s">
        <v>345</v>
      </c>
    </row>
    <row r="13" spans="1:6" ht="52.8" x14ac:dyDescent="0.3">
      <c r="A13" s="31">
        <v>46299</v>
      </c>
      <c r="B13" s="29" t="s">
        <v>346</v>
      </c>
      <c r="C13" s="29" t="s">
        <v>347</v>
      </c>
      <c r="D13" s="6">
        <v>16</v>
      </c>
      <c r="E13" s="6">
        <v>13</v>
      </c>
      <c r="F13" s="29" t="s">
        <v>348</v>
      </c>
    </row>
    <row r="14" spans="1:6" ht="52.8" x14ac:dyDescent="0.3">
      <c r="A14" s="30">
        <v>46300</v>
      </c>
      <c r="B14" s="28" t="s">
        <v>340</v>
      </c>
      <c r="C14" s="28" t="s">
        <v>341</v>
      </c>
      <c r="D14" s="21">
        <v>57</v>
      </c>
      <c r="E14" s="21">
        <v>47</v>
      </c>
      <c r="F14" s="28" t="s">
        <v>349</v>
      </c>
    </row>
    <row r="15" spans="1:6" ht="52.8" x14ac:dyDescent="0.3">
      <c r="A15" s="31">
        <v>46300</v>
      </c>
      <c r="B15" s="29" t="s">
        <v>343</v>
      </c>
      <c r="C15" s="29" t="s">
        <v>344</v>
      </c>
      <c r="D15" s="6">
        <v>42</v>
      </c>
      <c r="E15" s="6">
        <v>34</v>
      </c>
      <c r="F15" s="29" t="s">
        <v>350</v>
      </c>
    </row>
    <row r="16" spans="1:6" ht="52.8" x14ac:dyDescent="0.3">
      <c r="A16" s="30">
        <v>46300</v>
      </c>
      <c r="B16" s="28" t="s">
        <v>346</v>
      </c>
      <c r="C16" s="28" t="s">
        <v>347</v>
      </c>
      <c r="D16" s="21">
        <v>18</v>
      </c>
      <c r="E16" s="21">
        <v>15</v>
      </c>
      <c r="F16" s="28" t="s">
        <v>348</v>
      </c>
    </row>
    <row r="17" spans="1:6" ht="52.8" x14ac:dyDescent="0.3">
      <c r="A17" s="31">
        <v>46301</v>
      </c>
      <c r="B17" s="29" t="s">
        <v>340</v>
      </c>
      <c r="C17" s="29" t="s">
        <v>341</v>
      </c>
      <c r="D17" s="6">
        <v>51</v>
      </c>
      <c r="E17" s="6">
        <v>42</v>
      </c>
      <c r="F17" s="29" t="s">
        <v>349</v>
      </c>
    </row>
    <row r="18" spans="1:6" ht="52.8" x14ac:dyDescent="0.3">
      <c r="A18" s="30">
        <v>46301</v>
      </c>
      <c r="B18" s="28" t="s">
        <v>343</v>
      </c>
      <c r="C18" s="28" t="s">
        <v>344</v>
      </c>
      <c r="D18" s="21">
        <v>37</v>
      </c>
      <c r="E18" s="21">
        <v>30</v>
      </c>
      <c r="F18" s="28" t="s">
        <v>350</v>
      </c>
    </row>
    <row r="19" spans="1:6" ht="52.8" x14ac:dyDescent="0.3">
      <c r="A19" s="31">
        <v>46301</v>
      </c>
      <c r="B19" s="29" t="s">
        <v>346</v>
      </c>
      <c r="C19" s="29" t="s">
        <v>347</v>
      </c>
      <c r="D19" s="6">
        <v>15</v>
      </c>
      <c r="E19" s="6">
        <v>12</v>
      </c>
      <c r="F19" s="29" t="s">
        <v>348</v>
      </c>
    </row>
    <row r="20" spans="1:6" ht="52.8" x14ac:dyDescent="0.3">
      <c r="A20" s="30">
        <v>46302</v>
      </c>
      <c r="B20" s="28" t="s">
        <v>340</v>
      </c>
      <c r="C20" s="28" t="s">
        <v>341</v>
      </c>
      <c r="D20" s="21">
        <v>60</v>
      </c>
      <c r="E20" s="21">
        <v>49</v>
      </c>
      <c r="F20" s="28" t="s">
        <v>342</v>
      </c>
    </row>
    <row r="21" spans="1:6" ht="52.8" x14ac:dyDescent="0.3">
      <c r="A21" s="31">
        <v>46302</v>
      </c>
      <c r="B21" s="29" t="s">
        <v>343</v>
      </c>
      <c r="C21" s="29" t="s">
        <v>344</v>
      </c>
      <c r="D21" s="6">
        <v>44</v>
      </c>
      <c r="E21" s="6">
        <v>36</v>
      </c>
      <c r="F21" s="29" t="s">
        <v>350</v>
      </c>
    </row>
    <row r="22" spans="1:6" ht="52.8" x14ac:dyDescent="0.3">
      <c r="A22" s="30">
        <v>46302</v>
      </c>
      <c r="B22" s="28" t="s">
        <v>346</v>
      </c>
      <c r="C22" s="28" t="s">
        <v>347</v>
      </c>
      <c r="D22" s="21">
        <v>19</v>
      </c>
      <c r="E22" s="21">
        <v>16</v>
      </c>
      <c r="F22" s="28" t="s">
        <v>348</v>
      </c>
    </row>
    <row r="23" spans="1:6" ht="52.8" x14ac:dyDescent="0.3">
      <c r="A23" s="31">
        <v>46303</v>
      </c>
      <c r="B23" s="29" t="s">
        <v>340</v>
      </c>
      <c r="C23" s="29" t="s">
        <v>341</v>
      </c>
      <c r="D23" s="6">
        <v>62</v>
      </c>
      <c r="E23" s="6">
        <v>51</v>
      </c>
      <c r="F23" s="29" t="s">
        <v>349</v>
      </c>
    </row>
    <row r="24" spans="1:6" ht="52.8" x14ac:dyDescent="0.3">
      <c r="A24" s="30">
        <v>46303</v>
      </c>
      <c r="B24" s="28" t="s">
        <v>343</v>
      </c>
      <c r="C24" s="28" t="s">
        <v>344</v>
      </c>
      <c r="D24" s="21">
        <v>46</v>
      </c>
      <c r="E24" s="21">
        <v>38</v>
      </c>
      <c r="F24" s="28" t="s">
        <v>350</v>
      </c>
    </row>
    <row r="25" spans="1:6" ht="52.8" x14ac:dyDescent="0.3">
      <c r="A25" s="31">
        <v>46303</v>
      </c>
      <c r="B25" s="29" t="s">
        <v>346</v>
      </c>
      <c r="C25" s="29" t="s">
        <v>347</v>
      </c>
      <c r="D25" s="6">
        <v>20</v>
      </c>
      <c r="E25" s="6">
        <v>16</v>
      </c>
      <c r="F25" s="29" t="s">
        <v>348</v>
      </c>
    </row>
    <row r="26" spans="1:6" ht="52.8" x14ac:dyDescent="0.3">
      <c r="A26" s="30">
        <v>46304</v>
      </c>
      <c r="B26" s="28" t="s">
        <v>340</v>
      </c>
      <c r="C26" s="28" t="s">
        <v>341</v>
      </c>
      <c r="D26" s="21">
        <v>58</v>
      </c>
      <c r="E26" s="21">
        <v>48</v>
      </c>
      <c r="F26" s="28" t="s">
        <v>349</v>
      </c>
    </row>
    <row r="27" spans="1:6" ht="52.8" x14ac:dyDescent="0.3">
      <c r="A27" s="31">
        <v>46304</v>
      </c>
      <c r="B27" s="29" t="s">
        <v>343</v>
      </c>
      <c r="C27" s="29" t="s">
        <v>344</v>
      </c>
      <c r="D27" s="6">
        <v>43</v>
      </c>
      <c r="E27" s="6">
        <v>35</v>
      </c>
      <c r="F27" s="29" t="s">
        <v>350</v>
      </c>
    </row>
    <row r="28" spans="1:6" ht="52.8" x14ac:dyDescent="0.3">
      <c r="A28" s="30">
        <v>46304</v>
      </c>
      <c r="B28" s="28" t="s">
        <v>346</v>
      </c>
      <c r="C28" s="28" t="s">
        <v>347</v>
      </c>
      <c r="D28" s="21">
        <v>18</v>
      </c>
      <c r="E28" s="21">
        <v>15</v>
      </c>
      <c r="F28" s="28" t="s">
        <v>348</v>
      </c>
    </row>
    <row r="29" spans="1:6" ht="52.8" x14ac:dyDescent="0.3">
      <c r="A29" s="31">
        <v>46305</v>
      </c>
      <c r="B29" s="29" t="s">
        <v>340</v>
      </c>
      <c r="C29" s="29" t="s">
        <v>341</v>
      </c>
      <c r="D29" s="6">
        <v>65</v>
      </c>
      <c r="E29" s="6">
        <v>53</v>
      </c>
      <c r="F29" s="29" t="s">
        <v>349</v>
      </c>
    </row>
    <row r="30" spans="1:6" ht="52.8" x14ac:dyDescent="0.3">
      <c r="A30" s="30">
        <v>46305</v>
      </c>
      <c r="B30" s="28" t="s">
        <v>343</v>
      </c>
      <c r="C30" s="28" t="s">
        <v>344</v>
      </c>
      <c r="D30" s="21">
        <v>48</v>
      </c>
      <c r="E30" s="21">
        <v>39</v>
      </c>
      <c r="F30" s="28" t="s">
        <v>350</v>
      </c>
    </row>
    <row r="31" spans="1:6" ht="52.8" x14ac:dyDescent="0.3">
      <c r="A31" s="31">
        <v>46305</v>
      </c>
      <c r="B31" s="29" t="s">
        <v>346</v>
      </c>
      <c r="C31" s="29" t="s">
        <v>347</v>
      </c>
      <c r="D31" s="6">
        <v>22</v>
      </c>
      <c r="E31" s="6">
        <v>18</v>
      </c>
      <c r="F31" s="29" t="s">
        <v>348</v>
      </c>
    </row>
    <row r="32" spans="1:6" ht="52.8" x14ac:dyDescent="0.3">
      <c r="A32" s="30">
        <v>46306</v>
      </c>
      <c r="B32" s="28" t="s">
        <v>340</v>
      </c>
      <c r="C32" s="28" t="s">
        <v>341</v>
      </c>
      <c r="D32" s="21">
        <v>68</v>
      </c>
      <c r="E32" s="21">
        <v>56</v>
      </c>
      <c r="F32" s="28" t="s">
        <v>349</v>
      </c>
    </row>
    <row r="33" spans="1:6" ht="52.8" x14ac:dyDescent="0.3">
      <c r="A33" s="31">
        <v>46306</v>
      </c>
      <c r="B33" s="29" t="s">
        <v>343</v>
      </c>
      <c r="C33" s="29" t="s">
        <v>344</v>
      </c>
      <c r="D33" s="6">
        <v>50</v>
      </c>
      <c r="E33" s="6">
        <v>41</v>
      </c>
      <c r="F33" s="29" t="s">
        <v>350</v>
      </c>
    </row>
    <row r="34" spans="1:6" ht="52.8" x14ac:dyDescent="0.3">
      <c r="A34" s="30">
        <v>46306</v>
      </c>
      <c r="B34" s="28" t="s">
        <v>346</v>
      </c>
      <c r="C34" s="28" t="s">
        <v>347</v>
      </c>
      <c r="D34" s="21">
        <v>23</v>
      </c>
      <c r="E34" s="21">
        <v>19</v>
      </c>
      <c r="F34" s="28" t="s">
        <v>348</v>
      </c>
    </row>
    <row r="35" spans="1:6" ht="52.8" x14ac:dyDescent="0.3">
      <c r="A35" s="31">
        <v>46307</v>
      </c>
      <c r="B35" s="29" t="s">
        <v>340</v>
      </c>
      <c r="C35" s="29" t="s">
        <v>341</v>
      </c>
      <c r="D35" s="6">
        <v>64</v>
      </c>
      <c r="E35" s="6">
        <v>52</v>
      </c>
      <c r="F35" s="29" t="s">
        <v>349</v>
      </c>
    </row>
    <row r="36" spans="1:6" ht="52.8" x14ac:dyDescent="0.3">
      <c r="A36" s="30">
        <v>46307</v>
      </c>
      <c r="B36" s="28" t="s">
        <v>343</v>
      </c>
      <c r="C36" s="28" t="s">
        <v>344</v>
      </c>
      <c r="D36" s="21">
        <v>47</v>
      </c>
      <c r="E36" s="21">
        <v>39</v>
      </c>
      <c r="F36" s="28" t="s">
        <v>350</v>
      </c>
    </row>
    <row r="37" spans="1:6" ht="52.8" x14ac:dyDescent="0.3">
      <c r="A37" s="31">
        <v>46307</v>
      </c>
      <c r="B37" s="29" t="s">
        <v>346</v>
      </c>
      <c r="C37" s="29" t="s">
        <v>347</v>
      </c>
      <c r="D37" s="6">
        <v>21</v>
      </c>
      <c r="E37" s="6">
        <v>17</v>
      </c>
      <c r="F37" s="29" t="s">
        <v>348</v>
      </c>
    </row>
    <row r="38" spans="1:6" ht="52.8" x14ac:dyDescent="0.3">
      <c r="A38" s="30">
        <v>46308</v>
      </c>
      <c r="B38" s="28" t="s">
        <v>340</v>
      </c>
      <c r="C38" s="28" t="s">
        <v>341</v>
      </c>
      <c r="D38" s="21">
        <v>71</v>
      </c>
      <c r="E38" s="21">
        <v>58</v>
      </c>
      <c r="F38" s="28" t="s">
        <v>349</v>
      </c>
    </row>
    <row r="39" spans="1:6" ht="52.8" x14ac:dyDescent="0.3">
      <c r="A39" s="31">
        <v>46308</v>
      </c>
      <c r="B39" s="29" t="s">
        <v>343</v>
      </c>
      <c r="C39" s="29" t="s">
        <v>344</v>
      </c>
      <c r="D39" s="6">
        <v>53</v>
      </c>
      <c r="E39" s="6">
        <v>43</v>
      </c>
      <c r="F39" s="29" t="s">
        <v>345</v>
      </c>
    </row>
    <row r="40" spans="1:6" ht="52.8" x14ac:dyDescent="0.3">
      <c r="A40" s="30">
        <v>46308</v>
      </c>
      <c r="B40" s="28" t="s">
        <v>346</v>
      </c>
      <c r="C40" s="28" t="s">
        <v>347</v>
      </c>
      <c r="D40" s="21">
        <v>24</v>
      </c>
      <c r="E40" s="21">
        <v>20</v>
      </c>
      <c r="F40" s="28" t="s">
        <v>348</v>
      </c>
    </row>
    <row r="41" spans="1:6" ht="52.8" x14ac:dyDescent="0.3">
      <c r="A41" s="31">
        <v>46309</v>
      </c>
      <c r="B41" s="29" t="s">
        <v>340</v>
      </c>
      <c r="C41" s="29" t="s">
        <v>341</v>
      </c>
      <c r="D41" s="6">
        <v>75</v>
      </c>
      <c r="E41" s="6">
        <v>61</v>
      </c>
      <c r="F41" s="29" t="s">
        <v>349</v>
      </c>
    </row>
    <row r="42" spans="1:6" ht="52.8" x14ac:dyDescent="0.3">
      <c r="A42" s="30">
        <v>46309</v>
      </c>
      <c r="B42" s="28" t="s">
        <v>343</v>
      </c>
      <c r="C42" s="28" t="s">
        <v>344</v>
      </c>
      <c r="D42" s="21">
        <v>56</v>
      </c>
      <c r="E42" s="21">
        <v>46</v>
      </c>
      <c r="F42" s="28" t="s">
        <v>350</v>
      </c>
    </row>
    <row r="43" spans="1:6" ht="52.8" x14ac:dyDescent="0.3">
      <c r="A43" s="31">
        <v>46309</v>
      </c>
      <c r="B43" s="29" t="s">
        <v>346</v>
      </c>
      <c r="C43" s="29" t="s">
        <v>347</v>
      </c>
      <c r="D43" s="6">
        <v>27</v>
      </c>
      <c r="E43" s="6">
        <v>22</v>
      </c>
      <c r="F43" s="29" t="s">
        <v>351</v>
      </c>
    </row>
    <row r="44" spans="1:6" x14ac:dyDescent="0.3">
      <c r="A44" s="3"/>
      <c r="B44" s="4"/>
      <c r="C44" s="4"/>
      <c r="D44" s="2"/>
      <c r="E44" s="2"/>
      <c r="F44" s="4"/>
    </row>
    <row r="45" spans="1:6" x14ac:dyDescent="0.3">
      <c r="A45" s="3"/>
      <c r="B45" s="4"/>
      <c r="C45" s="4"/>
      <c r="D45" s="2"/>
      <c r="E45" s="2"/>
      <c r="F45" s="4"/>
    </row>
    <row r="46" spans="1:6" x14ac:dyDescent="0.3">
      <c r="A46" s="3"/>
      <c r="B46" s="4"/>
      <c r="C46" s="4"/>
      <c r="D46" s="2"/>
      <c r="E46" s="2"/>
      <c r="F46" s="4"/>
    </row>
    <row r="47" spans="1:6" x14ac:dyDescent="0.3">
      <c r="A47" s="3"/>
      <c r="B47" s="4"/>
      <c r="C47" s="4"/>
      <c r="D47" s="2"/>
      <c r="E47" s="2"/>
      <c r="F47" s="4"/>
    </row>
    <row r="48" spans="1:6" x14ac:dyDescent="0.3">
      <c r="A48" s="3"/>
      <c r="B48" s="4"/>
      <c r="C48" s="4"/>
      <c r="D48" s="2"/>
      <c r="E48" s="2"/>
      <c r="F48" s="4"/>
    </row>
    <row r="49" spans="1:6" x14ac:dyDescent="0.3">
      <c r="A49" s="3"/>
      <c r="B49" s="4"/>
      <c r="C49" s="4"/>
      <c r="D49" s="2"/>
      <c r="E49" s="2"/>
      <c r="F49" s="4"/>
    </row>
    <row r="50" spans="1:6" x14ac:dyDescent="0.3">
      <c r="A50" s="3"/>
      <c r="B50" s="4"/>
      <c r="C50" s="4"/>
      <c r="D50" s="2"/>
      <c r="E50" s="2"/>
      <c r="F50" s="4"/>
    </row>
    <row r="51" spans="1:6" x14ac:dyDescent="0.3">
      <c r="A51" s="3"/>
      <c r="B51" s="4"/>
      <c r="C51" s="4"/>
      <c r="D51" s="2"/>
      <c r="E51" s="2"/>
      <c r="F51" s="4"/>
    </row>
    <row r="52" spans="1:6" x14ac:dyDescent="0.3">
      <c r="A52" s="3"/>
      <c r="B52" s="4"/>
      <c r="C52" s="4"/>
      <c r="D52" s="2"/>
      <c r="E52" s="2"/>
      <c r="F52" s="4"/>
    </row>
    <row r="53" spans="1:6" x14ac:dyDescent="0.3">
      <c r="A53" s="3"/>
      <c r="B53" s="4"/>
      <c r="C53" s="4"/>
      <c r="D53" s="2"/>
      <c r="E53" s="2"/>
      <c r="F53" s="4"/>
    </row>
    <row r="54" spans="1:6" x14ac:dyDescent="0.3">
      <c r="A54" s="3"/>
      <c r="B54" s="4"/>
      <c r="C54" s="4"/>
      <c r="D54" s="2"/>
      <c r="E54" s="2"/>
      <c r="F54" s="4"/>
    </row>
    <row r="55" spans="1:6" x14ac:dyDescent="0.3">
      <c r="A55" s="3"/>
      <c r="B55" s="4"/>
      <c r="C55" s="4"/>
      <c r="D55" s="2"/>
      <c r="E55" s="2"/>
      <c r="F55" s="4"/>
    </row>
    <row r="56" spans="1:6" x14ac:dyDescent="0.3">
      <c r="A56" s="3"/>
      <c r="B56" s="4"/>
      <c r="C56" s="4"/>
      <c r="D56" s="2"/>
      <c r="E56" s="2"/>
      <c r="F56" s="4"/>
    </row>
    <row r="57" spans="1:6" x14ac:dyDescent="0.3">
      <c r="A57" s="3"/>
      <c r="B57" s="4"/>
      <c r="C57" s="4"/>
      <c r="D57" s="2"/>
      <c r="E57" s="2"/>
      <c r="F57" s="4"/>
    </row>
    <row r="58" spans="1:6" x14ac:dyDescent="0.3">
      <c r="A58" s="3"/>
      <c r="B58" s="4"/>
      <c r="C58" s="4"/>
      <c r="D58" s="2"/>
      <c r="E58" s="2"/>
      <c r="F58" s="4"/>
    </row>
    <row r="59" spans="1:6" x14ac:dyDescent="0.3">
      <c r="A59" s="3"/>
      <c r="B59" s="4"/>
      <c r="C59" s="4"/>
      <c r="D59" s="2"/>
      <c r="E59" s="2"/>
      <c r="F59" s="4"/>
    </row>
    <row r="60" spans="1:6" x14ac:dyDescent="0.3">
      <c r="A60" s="3"/>
      <c r="B60" s="4"/>
      <c r="C60" s="4"/>
      <c r="D60" s="2"/>
      <c r="E60" s="2"/>
      <c r="F60" s="4"/>
    </row>
    <row r="61" spans="1:6" x14ac:dyDescent="0.3">
      <c r="A61" s="3"/>
      <c r="B61" s="4"/>
      <c r="C61" s="4"/>
      <c r="D61" s="2"/>
      <c r="E61" s="2"/>
      <c r="F61" s="4"/>
    </row>
    <row r="62" spans="1:6" x14ac:dyDescent="0.3">
      <c r="A62" s="3"/>
      <c r="B62" s="4"/>
      <c r="C62" s="4"/>
      <c r="D62" s="2"/>
      <c r="E62" s="2"/>
      <c r="F62" s="4"/>
    </row>
    <row r="63" spans="1:6" x14ac:dyDescent="0.3">
      <c r="A63" s="3"/>
      <c r="B63" s="4"/>
      <c r="C63" s="4"/>
      <c r="D63" s="2"/>
      <c r="E63" s="2"/>
      <c r="F63" s="4"/>
    </row>
    <row r="64" spans="1:6" x14ac:dyDescent="0.3">
      <c r="A64" s="3"/>
      <c r="B64" s="4"/>
      <c r="C64" s="4"/>
      <c r="D64" s="2"/>
      <c r="E64" s="2"/>
      <c r="F64" s="4"/>
    </row>
    <row r="65" spans="1:6" x14ac:dyDescent="0.3">
      <c r="A65" s="3"/>
      <c r="B65" s="4"/>
      <c r="C65" s="4"/>
      <c r="D65" s="2"/>
      <c r="E65" s="2"/>
      <c r="F65" s="4"/>
    </row>
    <row r="66" spans="1:6" x14ac:dyDescent="0.3">
      <c r="A66" s="3"/>
      <c r="B66" s="4"/>
      <c r="C66" s="4"/>
      <c r="D66" s="2"/>
      <c r="E66" s="2"/>
      <c r="F66" s="4"/>
    </row>
    <row r="67" spans="1:6" x14ac:dyDescent="0.3">
      <c r="A67" s="3"/>
      <c r="B67" s="4"/>
      <c r="C67" s="4"/>
      <c r="D67" s="2"/>
      <c r="E67" s="2"/>
      <c r="F67" s="4"/>
    </row>
    <row r="68" spans="1:6" x14ac:dyDescent="0.3">
      <c r="A68" s="3"/>
      <c r="B68" s="4"/>
      <c r="C68" s="4"/>
      <c r="D68" s="2"/>
      <c r="E68" s="2"/>
      <c r="F68" s="4"/>
    </row>
    <row r="69" spans="1:6" x14ac:dyDescent="0.3">
      <c r="A69" s="3"/>
      <c r="B69" s="4"/>
      <c r="C69" s="4"/>
      <c r="D69" s="2"/>
      <c r="E69" s="2"/>
      <c r="F69" s="4"/>
    </row>
    <row r="70" spans="1:6" x14ac:dyDescent="0.3">
      <c r="A70" s="3"/>
      <c r="B70" s="4"/>
      <c r="C70" s="4"/>
      <c r="D70" s="2"/>
      <c r="E70" s="2"/>
      <c r="F70" s="4"/>
    </row>
    <row r="71" spans="1:6" x14ac:dyDescent="0.3">
      <c r="A71" s="3"/>
      <c r="B71" s="4"/>
      <c r="C71" s="4"/>
      <c r="D71" s="2"/>
      <c r="E71" s="2"/>
      <c r="F71" s="4"/>
    </row>
    <row r="72" spans="1:6" x14ac:dyDescent="0.3">
      <c r="A72" s="3"/>
      <c r="B72" s="4"/>
      <c r="C72" s="4"/>
      <c r="D72" s="2"/>
      <c r="E72" s="2"/>
      <c r="F72" s="4"/>
    </row>
    <row r="73" spans="1:6" x14ac:dyDescent="0.3">
      <c r="A73" s="3"/>
      <c r="B73" s="4"/>
      <c r="C73" s="4"/>
      <c r="D73" s="2"/>
      <c r="E73" s="2"/>
      <c r="F73" s="4"/>
    </row>
    <row r="74" spans="1:6" x14ac:dyDescent="0.3">
      <c r="A74" s="3"/>
      <c r="B74" s="4"/>
      <c r="C74" s="4"/>
      <c r="D74" s="2"/>
      <c r="E74" s="2"/>
      <c r="F74" s="4"/>
    </row>
    <row r="75" spans="1:6" x14ac:dyDescent="0.3">
      <c r="A75" s="3"/>
      <c r="B75" s="4"/>
      <c r="C75" s="4"/>
      <c r="D75" s="2"/>
      <c r="E75" s="2"/>
      <c r="F75" s="4"/>
    </row>
    <row r="76" spans="1:6" x14ac:dyDescent="0.3">
      <c r="A76" s="3"/>
      <c r="B76" s="4"/>
      <c r="C76" s="4"/>
      <c r="D76" s="2"/>
      <c r="E76" s="2"/>
      <c r="F76" s="4"/>
    </row>
    <row r="77" spans="1:6" x14ac:dyDescent="0.3">
      <c r="A77" s="3"/>
      <c r="B77" s="4"/>
      <c r="C77" s="4"/>
      <c r="D77" s="2"/>
      <c r="E77" s="2"/>
      <c r="F77" s="4"/>
    </row>
    <row r="78" spans="1:6" x14ac:dyDescent="0.3">
      <c r="A78" s="3"/>
      <c r="B78" s="4"/>
      <c r="C78" s="4"/>
      <c r="D78" s="2"/>
      <c r="E78" s="2"/>
      <c r="F78" s="4"/>
    </row>
    <row r="79" spans="1:6" x14ac:dyDescent="0.3">
      <c r="A79" s="3"/>
      <c r="B79" s="4"/>
      <c r="C79" s="4"/>
      <c r="D79" s="2"/>
      <c r="E79" s="2"/>
      <c r="F79" s="4"/>
    </row>
    <row r="80" spans="1:6" x14ac:dyDescent="0.3">
      <c r="A80" s="3"/>
      <c r="B80" s="4"/>
      <c r="C80" s="4"/>
      <c r="D80" s="2"/>
      <c r="E80" s="2"/>
      <c r="F80" s="4"/>
    </row>
    <row r="81" spans="1:6" x14ac:dyDescent="0.3">
      <c r="A81" s="3"/>
      <c r="B81" s="4"/>
      <c r="C81" s="4"/>
      <c r="D81" s="2"/>
      <c r="E81" s="2"/>
      <c r="F81" s="4"/>
    </row>
    <row r="82" spans="1:6" x14ac:dyDescent="0.3">
      <c r="A82" s="3"/>
      <c r="B82" s="4"/>
      <c r="C82" s="4"/>
      <c r="D82" s="2"/>
      <c r="E82" s="2"/>
      <c r="F82" s="4"/>
    </row>
    <row r="83" spans="1:6" x14ac:dyDescent="0.3">
      <c r="A83" s="3"/>
      <c r="B83" s="4"/>
      <c r="C83" s="4"/>
      <c r="D83" s="2"/>
      <c r="E83" s="2"/>
      <c r="F83" s="4"/>
    </row>
    <row r="84" spans="1:6" x14ac:dyDescent="0.3">
      <c r="A84" s="3"/>
      <c r="B84" s="4"/>
      <c r="C84" s="4"/>
      <c r="D84" s="2"/>
      <c r="E84" s="2"/>
      <c r="F84" s="4"/>
    </row>
    <row r="85" spans="1:6" x14ac:dyDescent="0.3">
      <c r="A85" s="3"/>
      <c r="B85" s="4"/>
      <c r="C85" s="4"/>
      <c r="D85" s="2"/>
      <c r="E85" s="2"/>
      <c r="F85" s="4"/>
    </row>
    <row r="86" spans="1:6" x14ac:dyDescent="0.3">
      <c r="A86" s="3"/>
      <c r="B86" s="4"/>
      <c r="C86" s="4"/>
      <c r="D86" s="2"/>
      <c r="E86" s="2"/>
      <c r="F86" s="4"/>
    </row>
    <row r="87" spans="1:6" x14ac:dyDescent="0.3">
      <c r="A87" s="3"/>
      <c r="B87" s="4"/>
      <c r="C87" s="4"/>
      <c r="D87" s="2"/>
      <c r="E87" s="2"/>
      <c r="F87" s="4"/>
    </row>
    <row r="88" spans="1:6" x14ac:dyDescent="0.3">
      <c r="A88" s="3"/>
      <c r="B88" s="4"/>
      <c r="C88" s="4"/>
      <c r="D88" s="2"/>
      <c r="E88" s="2"/>
      <c r="F88" s="4"/>
    </row>
    <row r="89" spans="1:6" x14ac:dyDescent="0.3">
      <c r="A89" s="3"/>
      <c r="B89" s="4"/>
      <c r="C89" s="4"/>
      <c r="D89" s="2"/>
      <c r="E89" s="2"/>
      <c r="F89" s="4"/>
    </row>
    <row r="90" spans="1:6" x14ac:dyDescent="0.3">
      <c r="A90" s="3"/>
      <c r="B90" s="4"/>
      <c r="C90" s="4"/>
      <c r="D90" s="2"/>
      <c r="E90" s="2"/>
      <c r="F90" s="4"/>
    </row>
    <row r="91" spans="1:6" x14ac:dyDescent="0.3">
      <c r="A91" s="3"/>
      <c r="B91" s="4"/>
      <c r="C91" s="4"/>
      <c r="D91" s="2"/>
      <c r="E91" s="2"/>
      <c r="F91" s="4"/>
    </row>
    <row r="92" spans="1:6" x14ac:dyDescent="0.3">
      <c r="A92" s="3"/>
      <c r="B92" s="4"/>
      <c r="C92" s="4"/>
      <c r="D92" s="2"/>
      <c r="E92" s="2"/>
      <c r="F92" s="4"/>
    </row>
    <row r="93" spans="1:6" x14ac:dyDescent="0.3">
      <c r="A93" s="3"/>
      <c r="B93" s="4"/>
      <c r="C93" s="4"/>
      <c r="D93" s="2"/>
      <c r="E93" s="2"/>
      <c r="F93" s="4"/>
    </row>
    <row r="94" spans="1:6" x14ac:dyDescent="0.3">
      <c r="A94" s="3"/>
      <c r="B94" s="4"/>
      <c r="C94" s="4"/>
      <c r="D94" s="2"/>
      <c r="E94" s="2"/>
      <c r="F94" s="4"/>
    </row>
    <row r="95" spans="1:6" x14ac:dyDescent="0.3">
      <c r="A95" s="3"/>
      <c r="B95" s="4"/>
      <c r="C95" s="4"/>
      <c r="D95" s="2"/>
      <c r="E95" s="2"/>
      <c r="F95" s="4"/>
    </row>
    <row r="96" spans="1:6" x14ac:dyDescent="0.3">
      <c r="A96" s="3"/>
      <c r="B96" s="4"/>
      <c r="C96" s="4"/>
      <c r="D96" s="2"/>
      <c r="E96" s="2"/>
      <c r="F96" s="4"/>
    </row>
    <row r="97" spans="1:6" x14ac:dyDescent="0.3">
      <c r="A97" s="3"/>
      <c r="B97" s="4"/>
      <c r="C97" s="4"/>
      <c r="D97" s="2"/>
      <c r="E97" s="2"/>
      <c r="F97" s="4"/>
    </row>
    <row r="98" spans="1:6" x14ac:dyDescent="0.3">
      <c r="A98" s="3"/>
      <c r="B98" s="4"/>
      <c r="C98" s="4"/>
      <c r="D98" s="2"/>
      <c r="E98" s="2"/>
      <c r="F98" s="4"/>
    </row>
    <row r="99" spans="1:6" x14ac:dyDescent="0.3">
      <c r="A99" s="3"/>
      <c r="B99" s="4"/>
      <c r="C99" s="4"/>
      <c r="D99" s="2"/>
      <c r="E99" s="2"/>
      <c r="F99" s="4"/>
    </row>
    <row r="100" spans="1:6" x14ac:dyDescent="0.3">
      <c r="A100" s="3"/>
      <c r="B100" s="4"/>
      <c r="C100" s="4"/>
      <c r="D100" s="2"/>
      <c r="E100" s="2"/>
      <c r="F100" s="4"/>
    </row>
    <row r="101" spans="1:6" x14ac:dyDescent="0.3">
      <c r="A101" s="3"/>
      <c r="B101" s="4"/>
      <c r="C101" s="4"/>
      <c r="D101" s="2"/>
      <c r="E101" s="2"/>
      <c r="F101" s="4"/>
    </row>
    <row r="102" spans="1:6" x14ac:dyDescent="0.3">
      <c r="A102" s="3"/>
      <c r="B102" s="4"/>
      <c r="C102" s="4"/>
      <c r="D102" s="2"/>
      <c r="E102" s="2"/>
      <c r="F102" s="4"/>
    </row>
    <row r="103" spans="1:6" x14ac:dyDescent="0.3">
      <c r="A103" s="3"/>
      <c r="B103" s="4"/>
      <c r="C103" s="4"/>
      <c r="D103" s="2"/>
      <c r="E103" s="2"/>
      <c r="F103" s="4"/>
    </row>
    <row r="104" spans="1:6" x14ac:dyDescent="0.3">
      <c r="A104" s="3"/>
      <c r="B104" s="4"/>
      <c r="C104" s="4"/>
      <c r="D104" s="2"/>
      <c r="E104" s="2"/>
      <c r="F104" s="4"/>
    </row>
    <row r="105" spans="1:6" x14ac:dyDescent="0.3">
      <c r="A105" s="3"/>
      <c r="B105" s="4"/>
      <c r="C105" s="4"/>
      <c r="D105" s="2"/>
      <c r="E105" s="2"/>
      <c r="F105" s="4"/>
    </row>
    <row r="106" spans="1:6" x14ac:dyDescent="0.3">
      <c r="A106" s="3"/>
      <c r="B106" s="4"/>
      <c r="C106" s="4"/>
      <c r="D106" s="2"/>
      <c r="E106" s="2"/>
      <c r="F106" s="4"/>
    </row>
    <row r="107" spans="1:6" x14ac:dyDescent="0.3">
      <c r="A107" s="3"/>
      <c r="B107" s="4"/>
      <c r="C107" s="4"/>
      <c r="D107" s="2"/>
      <c r="E107" s="2"/>
      <c r="F107" s="4"/>
    </row>
    <row r="108" spans="1:6" x14ac:dyDescent="0.3">
      <c r="A108" s="3"/>
      <c r="B108" s="4"/>
      <c r="C108" s="4"/>
      <c r="D108" s="2"/>
      <c r="E108" s="2"/>
      <c r="F108" s="4"/>
    </row>
    <row r="109" spans="1:6" x14ac:dyDescent="0.3">
      <c r="A109" s="3"/>
      <c r="B109" s="4"/>
      <c r="C109" s="4"/>
      <c r="D109" s="2"/>
      <c r="E109" s="2"/>
      <c r="F109" s="4"/>
    </row>
    <row r="110" spans="1:6" x14ac:dyDescent="0.3">
      <c r="A110" s="3"/>
      <c r="B110" s="4"/>
      <c r="C110" s="4"/>
      <c r="D110" s="2"/>
      <c r="E110" s="2"/>
      <c r="F110" s="4"/>
    </row>
    <row r="111" spans="1:6" x14ac:dyDescent="0.3">
      <c r="A111" s="3"/>
      <c r="B111" s="4"/>
      <c r="C111" s="4"/>
      <c r="D111" s="2"/>
      <c r="E111" s="2"/>
      <c r="F111" s="4"/>
    </row>
    <row r="112" spans="1:6" x14ac:dyDescent="0.3">
      <c r="A112" s="3"/>
      <c r="B112" s="4"/>
      <c r="C112" s="4"/>
      <c r="D112" s="2"/>
      <c r="E112" s="2"/>
      <c r="F112" s="4"/>
    </row>
    <row r="113" spans="1:6" x14ac:dyDescent="0.3">
      <c r="A113" s="3"/>
      <c r="B113" s="4"/>
      <c r="C113" s="4"/>
      <c r="D113" s="2"/>
      <c r="E113" s="2"/>
      <c r="F113" s="4"/>
    </row>
    <row r="114" spans="1:6" x14ac:dyDescent="0.3">
      <c r="A114" s="3"/>
      <c r="B114" s="4"/>
      <c r="C114" s="4"/>
      <c r="D114" s="2"/>
      <c r="E114" s="2"/>
      <c r="F114" s="4"/>
    </row>
    <row r="115" spans="1:6" x14ac:dyDescent="0.3">
      <c r="A115" s="3"/>
      <c r="B115" s="4"/>
      <c r="C115" s="4"/>
      <c r="D115" s="2"/>
      <c r="E115" s="2"/>
      <c r="F115" s="4"/>
    </row>
    <row r="116" spans="1:6" x14ac:dyDescent="0.3">
      <c r="A116" s="3"/>
      <c r="B116" s="4"/>
      <c r="C116" s="4"/>
      <c r="D116" s="2"/>
      <c r="E116" s="2"/>
      <c r="F116" s="4"/>
    </row>
    <row r="117" spans="1:6" x14ac:dyDescent="0.3">
      <c r="A117" s="3"/>
      <c r="B117" s="4"/>
      <c r="C117" s="4"/>
      <c r="D117" s="2"/>
      <c r="E117" s="2"/>
      <c r="F117" s="4"/>
    </row>
    <row r="118" spans="1:6" x14ac:dyDescent="0.3">
      <c r="A118" s="3"/>
      <c r="B118" s="4"/>
      <c r="C118" s="4"/>
      <c r="D118" s="2"/>
      <c r="E118" s="2"/>
      <c r="F118" s="4"/>
    </row>
    <row r="119" spans="1:6" x14ac:dyDescent="0.3">
      <c r="A119" s="3"/>
      <c r="B119" s="4"/>
      <c r="C119" s="4"/>
      <c r="D119" s="2"/>
      <c r="E119" s="2"/>
      <c r="F119" s="4"/>
    </row>
    <row r="120" spans="1:6" x14ac:dyDescent="0.3">
      <c r="A120" s="3"/>
      <c r="B120" s="4"/>
      <c r="C120" s="4"/>
      <c r="D120" s="2"/>
      <c r="E120" s="2"/>
      <c r="F120" s="4"/>
    </row>
    <row r="121" spans="1:6" x14ac:dyDescent="0.3">
      <c r="A121" s="3"/>
      <c r="B121" s="4"/>
      <c r="C121" s="4"/>
      <c r="D121" s="2"/>
      <c r="E121" s="2"/>
      <c r="F121" s="4"/>
    </row>
    <row r="122" spans="1:6" x14ac:dyDescent="0.3">
      <c r="A122" s="3"/>
      <c r="B122" s="4"/>
      <c r="C122" s="4"/>
      <c r="D122" s="2"/>
      <c r="E122" s="2"/>
      <c r="F122" s="4"/>
    </row>
    <row r="123" spans="1:6" x14ac:dyDescent="0.3">
      <c r="A123" s="3"/>
      <c r="B123" s="4"/>
      <c r="C123" s="4"/>
      <c r="D123" s="2"/>
      <c r="E123" s="2"/>
      <c r="F123" s="4"/>
    </row>
    <row r="124" spans="1:6" x14ac:dyDescent="0.3">
      <c r="A124" s="3"/>
      <c r="B124" s="4"/>
      <c r="C124" s="4"/>
      <c r="D124" s="2"/>
      <c r="E124" s="2"/>
      <c r="F124" s="4"/>
    </row>
    <row r="125" spans="1:6" x14ac:dyDescent="0.3">
      <c r="A125" s="3"/>
      <c r="B125" s="4"/>
      <c r="C125" s="4"/>
      <c r="D125" s="2"/>
      <c r="E125" s="2"/>
      <c r="F125" s="4"/>
    </row>
    <row r="126" spans="1:6" x14ac:dyDescent="0.3">
      <c r="A126" s="3"/>
      <c r="B126" s="4"/>
      <c r="C126" s="4"/>
      <c r="D126" s="2"/>
      <c r="E126" s="2"/>
      <c r="F126" s="4"/>
    </row>
    <row r="127" spans="1:6" x14ac:dyDescent="0.3">
      <c r="A127" s="3"/>
      <c r="B127" s="4"/>
      <c r="C127" s="4"/>
      <c r="D127" s="2"/>
      <c r="E127" s="2"/>
      <c r="F127" s="4"/>
    </row>
    <row r="128" spans="1:6" x14ac:dyDescent="0.3">
      <c r="A128" s="3"/>
      <c r="B128" s="4"/>
      <c r="C128" s="4"/>
      <c r="D128" s="2"/>
      <c r="E128" s="2"/>
      <c r="F128" s="4"/>
    </row>
    <row r="129" spans="1:6" x14ac:dyDescent="0.3">
      <c r="A129" s="3"/>
      <c r="B129" s="4"/>
      <c r="C129" s="4"/>
      <c r="D129" s="2"/>
      <c r="E129" s="2"/>
      <c r="F129" s="4"/>
    </row>
    <row r="130" spans="1:6" x14ac:dyDescent="0.3">
      <c r="A130" s="3"/>
      <c r="B130" s="4"/>
      <c r="C130" s="4"/>
      <c r="D130" s="2"/>
      <c r="E130" s="2"/>
      <c r="F130" s="4"/>
    </row>
    <row r="131" spans="1:6" x14ac:dyDescent="0.3">
      <c r="A131" s="3"/>
      <c r="B131" s="4"/>
      <c r="C131" s="4"/>
      <c r="D131" s="2"/>
      <c r="E131" s="2"/>
      <c r="F131" s="4"/>
    </row>
    <row r="132" spans="1:6" x14ac:dyDescent="0.3">
      <c r="A132" s="3"/>
      <c r="B132" s="4"/>
      <c r="C132" s="4"/>
      <c r="D132" s="2"/>
      <c r="E132" s="2"/>
      <c r="F132" s="4"/>
    </row>
    <row r="133" spans="1:6" x14ac:dyDescent="0.3">
      <c r="A133" s="3"/>
      <c r="B133" s="4"/>
      <c r="C133" s="4"/>
      <c r="D133" s="2"/>
      <c r="E133" s="2"/>
      <c r="F133" s="4"/>
    </row>
    <row r="134" spans="1:6" x14ac:dyDescent="0.3">
      <c r="A134" s="3"/>
      <c r="B134" s="4"/>
      <c r="C134" s="4"/>
      <c r="D134" s="2"/>
      <c r="E134" s="2"/>
      <c r="F134" s="4"/>
    </row>
    <row r="135" spans="1:6" x14ac:dyDescent="0.3">
      <c r="A135" s="3"/>
      <c r="B135" s="4"/>
      <c r="C135" s="4"/>
      <c r="D135" s="2"/>
      <c r="E135" s="2"/>
      <c r="F135" s="4"/>
    </row>
    <row r="136" spans="1:6" x14ac:dyDescent="0.3">
      <c r="A136" s="3"/>
      <c r="B136" s="4"/>
      <c r="C136" s="4"/>
      <c r="D136" s="2"/>
      <c r="E136" s="2"/>
      <c r="F136" s="4"/>
    </row>
    <row r="137" spans="1:6" x14ac:dyDescent="0.3">
      <c r="A137" s="3"/>
      <c r="B137" s="4"/>
      <c r="C137" s="4"/>
      <c r="D137" s="2"/>
      <c r="E137" s="2"/>
      <c r="F137" s="4"/>
    </row>
    <row r="138" spans="1:6" x14ac:dyDescent="0.3">
      <c r="A138" s="3"/>
      <c r="B138" s="4"/>
      <c r="C138" s="4"/>
      <c r="D138" s="2"/>
      <c r="E138" s="2"/>
      <c r="F138" s="4"/>
    </row>
    <row r="139" spans="1:6" x14ac:dyDescent="0.3">
      <c r="A139" s="3"/>
      <c r="B139" s="4"/>
      <c r="C139" s="4"/>
      <c r="D139" s="2"/>
      <c r="E139" s="2"/>
      <c r="F139" s="4"/>
    </row>
    <row r="140" spans="1:6" x14ac:dyDescent="0.3">
      <c r="A140" s="3"/>
      <c r="B140" s="4"/>
      <c r="C140" s="4"/>
      <c r="D140" s="2"/>
      <c r="E140" s="2"/>
      <c r="F140" s="4"/>
    </row>
    <row r="141" spans="1:6" x14ac:dyDescent="0.3">
      <c r="A141" s="3"/>
      <c r="B141" s="4"/>
      <c r="C141" s="4"/>
      <c r="D141" s="2"/>
      <c r="E141" s="2"/>
      <c r="F141" s="4"/>
    </row>
    <row r="142" spans="1:6" x14ac:dyDescent="0.3">
      <c r="A142" s="3"/>
      <c r="B142" s="4"/>
      <c r="C142" s="4"/>
      <c r="D142" s="2"/>
      <c r="E142" s="2"/>
      <c r="F142" s="4"/>
    </row>
    <row r="143" spans="1:6" x14ac:dyDescent="0.3">
      <c r="A143" s="3"/>
      <c r="B143" s="4"/>
      <c r="C143" s="4"/>
      <c r="D143" s="2"/>
      <c r="E143" s="2"/>
      <c r="F143" s="4"/>
    </row>
    <row r="144" spans="1:6" x14ac:dyDescent="0.3">
      <c r="A144" s="3"/>
      <c r="B144" s="4"/>
      <c r="C144" s="4"/>
      <c r="D144" s="2"/>
      <c r="E144" s="2"/>
      <c r="F144" s="4"/>
    </row>
    <row r="145" spans="1:6" x14ac:dyDescent="0.3">
      <c r="A145" s="3"/>
      <c r="B145" s="4"/>
      <c r="C145" s="4"/>
      <c r="D145" s="2"/>
      <c r="E145" s="2"/>
      <c r="F145" s="4"/>
    </row>
    <row r="146" spans="1:6" x14ac:dyDescent="0.3">
      <c r="A146" s="3"/>
      <c r="B146" s="4"/>
      <c r="C146" s="4"/>
      <c r="D146" s="2"/>
      <c r="E146" s="2"/>
      <c r="F146" s="4"/>
    </row>
    <row r="147" spans="1:6" x14ac:dyDescent="0.3">
      <c r="A147" s="3"/>
      <c r="B147" s="4"/>
      <c r="C147" s="4"/>
      <c r="D147" s="2"/>
      <c r="E147" s="2"/>
      <c r="F147" s="4"/>
    </row>
    <row r="148" spans="1:6" x14ac:dyDescent="0.3">
      <c r="A148" s="3"/>
      <c r="B148" s="4"/>
      <c r="C148" s="4"/>
      <c r="D148" s="2"/>
      <c r="E148" s="2"/>
      <c r="F148" s="4"/>
    </row>
    <row r="149" spans="1:6" x14ac:dyDescent="0.3">
      <c r="A149" s="3"/>
      <c r="B149" s="4"/>
      <c r="C149" s="4"/>
      <c r="D149" s="2"/>
      <c r="E149" s="2"/>
      <c r="F149" s="4"/>
    </row>
    <row r="150" spans="1:6" x14ac:dyDescent="0.3">
      <c r="A150" s="3"/>
      <c r="B150" s="4"/>
      <c r="C150" s="4"/>
      <c r="D150" s="2"/>
      <c r="E150" s="2"/>
      <c r="F150" s="4"/>
    </row>
    <row r="151" spans="1:6" x14ac:dyDescent="0.3">
      <c r="A151" s="3"/>
      <c r="B151" s="4"/>
      <c r="C151" s="4"/>
      <c r="D151" s="2"/>
      <c r="E151" s="2"/>
      <c r="F151" s="4"/>
    </row>
    <row r="152" spans="1:6" x14ac:dyDescent="0.3">
      <c r="A152" s="3"/>
      <c r="B152" s="4"/>
      <c r="C152" s="4"/>
      <c r="D152" s="2"/>
      <c r="E152" s="2"/>
      <c r="F152" s="4"/>
    </row>
    <row r="153" spans="1:6" x14ac:dyDescent="0.3">
      <c r="A153" s="3"/>
      <c r="B153" s="4"/>
      <c r="C153" s="4"/>
      <c r="D153" s="2"/>
      <c r="E153" s="2"/>
      <c r="F153" s="4"/>
    </row>
    <row r="154" spans="1:6" x14ac:dyDescent="0.3">
      <c r="A154" s="3"/>
      <c r="B154" s="4"/>
      <c r="C154" s="4"/>
      <c r="D154" s="2"/>
      <c r="E154" s="2"/>
      <c r="F154" s="4"/>
    </row>
    <row r="155" spans="1:6" x14ac:dyDescent="0.3">
      <c r="A155" s="3"/>
      <c r="B155" s="4"/>
      <c r="C155" s="4"/>
      <c r="D155" s="2"/>
      <c r="E155" s="2"/>
      <c r="F155" s="4"/>
    </row>
    <row r="156" spans="1:6" x14ac:dyDescent="0.3">
      <c r="A156" s="3"/>
      <c r="B156" s="4"/>
      <c r="C156" s="4"/>
      <c r="D156" s="2"/>
      <c r="E156" s="2"/>
      <c r="F156" s="4"/>
    </row>
    <row r="157" spans="1:6" x14ac:dyDescent="0.3">
      <c r="A157" s="3"/>
      <c r="B157" s="4"/>
      <c r="C157" s="4"/>
      <c r="D157" s="2"/>
      <c r="E157" s="2"/>
      <c r="F157" s="4"/>
    </row>
    <row r="158" spans="1:6" x14ac:dyDescent="0.3">
      <c r="A158" s="3"/>
      <c r="B158" s="4"/>
      <c r="C158" s="4"/>
      <c r="D158" s="2"/>
      <c r="E158" s="2"/>
      <c r="F158" s="4"/>
    </row>
    <row r="159" spans="1:6" x14ac:dyDescent="0.3">
      <c r="A159" s="3"/>
      <c r="B159" s="4"/>
      <c r="C159" s="4"/>
      <c r="D159" s="2"/>
      <c r="E159" s="2"/>
      <c r="F159" s="4"/>
    </row>
    <row r="160" spans="1:6" x14ac:dyDescent="0.3">
      <c r="A160" s="3"/>
      <c r="B160" s="4"/>
      <c r="C160" s="4"/>
      <c r="D160" s="2"/>
      <c r="E160" s="2"/>
      <c r="F160" s="4"/>
    </row>
    <row r="161" spans="1:6" x14ac:dyDescent="0.3">
      <c r="A161" s="3"/>
      <c r="B161" s="4"/>
      <c r="C161" s="4"/>
      <c r="D161" s="2"/>
      <c r="E161" s="2"/>
      <c r="F161" s="4"/>
    </row>
    <row r="162" spans="1:6" x14ac:dyDescent="0.3">
      <c r="A162" s="3"/>
      <c r="B162" s="4"/>
      <c r="C162" s="4"/>
      <c r="D162" s="2"/>
      <c r="E162" s="2"/>
      <c r="F162" s="4"/>
    </row>
    <row r="163" spans="1:6" x14ac:dyDescent="0.3">
      <c r="A163" s="3"/>
      <c r="B163" s="4"/>
      <c r="C163" s="4"/>
      <c r="D163" s="2"/>
      <c r="E163" s="2"/>
      <c r="F163" s="4"/>
    </row>
    <row r="164" spans="1:6" x14ac:dyDescent="0.3">
      <c r="A164" s="3"/>
      <c r="B164" s="4"/>
      <c r="C164" s="4"/>
      <c r="D164" s="2"/>
      <c r="E164" s="2"/>
      <c r="F164" s="4"/>
    </row>
    <row r="165" spans="1:6" x14ac:dyDescent="0.3">
      <c r="A165" s="3"/>
      <c r="B165" s="4"/>
      <c r="C165" s="4"/>
      <c r="D165" s="2"/>
      <c r="E165" s="2"/>
      <c r="F165" s="4"/>
    </row>
    <row r="166" spans="1:6" x14ac:dyDescent="0.3">
      <c r="A166" s="3"/>
      <c r="B166" s="4"/>
      <c r="C166" s="4"/>
      <c r="D166" s="2"/>
      <c r="E166" s="2"/>
      <c r="F166" s="4"/>
    </row>
    <row r="167" spans="1:6" x14ac:dyDescent="0.3">
      <c r="A167" s="3"/>
      <c r="B167" s="4"/>
      <c r="C167" s="4"/>
      <c r="D167" s="2"/>
      <c r="E167" s="2"/>
      <c r="F167" s="4"/>
    </row>
    <row r="168" spans="1:6" x14ac:dyDescent="0.3">
      <c r="A168" s="3"/>
      <c r="B168" s="4"/>
      <c r="C168" s="4"/>
      <c r="D168" s="2"/>
      <c r="E168" s="2"/>
      <c r="F168" s="4"/>
    </row>
    <row r="169" spans="1:6" x14ac:dyDescent="0.3">
      <c r="A169" s="3"/>
      <c r="B169" s="4"/>
      <c r="C169" s="4"/>
      <c r="D169" s="2"/>
      <c r="E169" s="2"/>
      <c r="F169" s="4"/>
    </row>
    <row r="170" spans="1:6" x14ac:dyDescent="0.3">
      <c r="A170" s="3"/>
      <c r="B170" s="4"/>
      <c r="C170" s="4"/>
      <c r="D170" s="2"/>
      <c r="E170" s="2"/>
      <c r="F170" s="4"/>
    </row>
    <row r="171" spans="1:6" x14ac:dyDescent="0.3">
      <c r="A171" s="3"/>
      <c r="B171" s="4"/>
      <c r="C171" s="4"/>
      <c r="D171" s="2"/>
      <c r="E171" s="2"/>
      <c r="F171" s="4"/>
    </row>
    <row r="172" spans="1:6" x14ac:dyDescent="0.3">
      <c r="A172" s="3"/>
      <c r="B172" s="4"/>
      <c r="C172" s="4"/>
      <c r="D172" s="2"/>
      <c r="E172" s="2"/>
      <c r="F172" s="4"/>
    </row>
    <row r="173" spans="1:6" x14ac:dyDescent="0.3">
      <c r="A173" s="3"/>
      <c r="B173" s="4"/>
      <c r="C173" s="4"/>
      <c r="D173" s="2"/>
      <c r="E173" s="2"/>
      <c r="F173" s="4"/>
    </row>
    <row r="174" spans="1:6" x14ac:dyDescent="0.3">
      <c r="A174" s="3"/>
      <c r="B174" s="4"/>
      <c r="C174" s="4"/>
      <c r="D174" s="2"/>
      <c r="E174" s="2"/>
      <c r="F174" s="4"/>
    </row>
    <row r="175" spans="1:6" x14ac:dyDescent="0.3">
      <c r="A175" s="3"/>
      <c r="B175" s="4"/>
      <c r="C175" s="4"/>
      <c r="D175" s="2"/>
      <c r="E175" s="2"/>
      <c r="F175" s="4"/>
    </row>
    <row r="176" spans="1:6" x14ac:dyDescent="0.3">
      <c r="A176" s="3"/>
      <c r="B176" s="4"/>
      <c r="C176" s="4"/>
      <c r="D176" s="2"/>
      <c r="E176" s="2"/>
      <c r="F176" s="4"/>
    </row>
    <row r="177" spans="1:6" x14ac:dyDescent="0.3">
      <c r="A177" s="3"/>
      <c r="B177" s="4"/>
      <c r="C177" s="4"/>
      <c r="D177" s="2"/>
      <c r="E177" s="2"/>
      <c r="F177" s="4"/>
    </row>
    <row r="178" spans="1:6" x14ac:dyDescent="0.3">
      <c r="A178" s="3"/>
      <c r="B178" s="4"/>
      <c r="C178" s="4"/>
      <c r="D178" s="2"/>
      <c r="E178" s="2"/>
      <c r="F178" s="4"/>
    </row>
    <row r="179" spans="1:6" x14ac:dyDescent="0.3">
      <c r="A179" s="3"/>
      <c r="B179" s="4"/>
      <c r="C179" s="4"/>
      <c r="D179" s="2"/>
      <c r="E179" s="2"/>
      <c r="F179" s="4"/>
    </row>
    <row r="180" spans="1:6" x14ac:dyDescent="0.3">
      <c r="A180" s="3"/>
      <c r="B180" s="4"/>
      <c r="C180" s="4"/>
      <c r="D180" s="2"/>
      <c r="E180" s="2"/>
      <c r="F180" s="4"/>
    </row>
    <row r="181" spans="1:6" x14ac:dyDescent="0.3">
      <c r="A181" s="3"/>
      <c r="B181" s="4"/>
      <c r="C181" s="4"/>
      <c r="D181" s="2"/>
      <c r="E181" s="2"/>
      <c r="F181" s="4"/>
    </row>
    <row r="182" spans="1:6" x14ac:dyDescent="0.3">
      <c r="A182" s="3"/>
      <c r="B182" s="4"/>
      <c r="C182" s="4"/>
      <c r="D182" s="2"/>
      <c r="E182" s="2"/>
      <c r="F182" s="4"/>
    </row>
    <row r="183" spans="1:6" x14ac:dyDescent="0.3">
      <c r="A183" s="3"/>
      <c r="B183" s="4"/>
      <c r="C183" s="4"/>
      <c r="D183" s="2"/>
      <c r="E183" s="2"/>
      <c r="F183" s="4"/>
    </row>
    <row r="184" spans="1:6" x14ac:dyDescent="0.3">
      <c r="A184" s="3"/>
      <c r="B184" s="4"/>
      <c r="C184" s="4"/>
      <c r="D184" s="2"/>
      <c r="E184" s="2"/>
      <c r="F184" s="4"/>
    </row>
    <row r="185" spans="1:6" x14ac:dyDescent="0.3">
      <c r="A185" s="3"/>
      <c r="B185" s="4"/>
      <c r="C185" s="4"/>
      <c r="D185" s="2"/>
      <c r="E185" s="2"/>
      <c r="F185" s="4"/>
    </row>
    <row r="186" spans="1:6" x14ac:dyDescent="0.3">
      <c r="A186" s="3"/>
      <c r="B186" s="4"/>
      <c r="C186" s="4"/>
      <c r="D186" s="2"/>
      <c r="E186" s="2"/>
      <c r="F186" s="4"/>
    </row>
    <row r="187" spans="1:6" x14ac:dyDescent="0.3">
      <c r="A187" s="3"/>
      <c r="B187" s="4"/>
      <c r="C187" s="4"/>
      <c r="D187" s="2"/>
      <c r="E187" s="2"/>
      <c r="F187" s="4"/>
    </row>
    <row r="188" spans="1:6" x14ac:dyDescent="0.3">
      <c r="A188" s="3"/>
      <c r="B188" s="4"/>
      <c r="C188" s="4"/>
      <c r="D188" s="2"/>
      <c r="E188" s="2"/>
      <c r="F188" s="4"/>
    </row>
    <row r="189" spans="1:6" x14ac:dyDescent="0.3">
      <c r="A189" s="3"/>
      <c r="B189" s="4"/>
      <c r="C189" s="4"/>
      <c r="D189" s="2"/>
      <c r="E189" s="2"/>
      <c r="F189" s="4"/>
    </row>
    <row r="190" spans="1:6" x14ac:dyDescent="0.3">
      <c r="A190" s="3"/>
      <c r="B190" s="4"/>
      <c r="C190" s="4"/>
      <c r="D190" s="2"/>
      <c r="E190" s="2"/>
      <c r="F190" s="4"/>
    </row>
    <row r="191" spans="1:6" x14ac:dyDescent="0.3">
      <c r="A191" s="3"/>
      <c r="B191" s="4"/>
      <c r="C191" s="4"/>
      <c r="D191" s="2"/>
      <c r="E191" s="2"/>
      <c r="F191" s="4"/>
    </row>
    <row r="192" spans="1:6" x14ac:dyDescent="0.3">
      <c r="A192" s="3"/>
      <c r="B192" s="4"/>
      <c r="C192" s="4"/>
      <c r="D192" s="2"/>
      <c r="E192" s="2"/>
      <c r="F192" s="4"/>
    </row>
    <row r="193" spans="1:6" x14ac:dyDescent="0.3">
      <c r="A193" s="3"/>
      <c r="B193" s="4"/>
      <c r="C193" s="4"/>
      <c r="D193" s="2"/>
      <c r="E193" s="2"/>
      <c r="F193" s="4"/>
    </row>
    <row r="194" spans="1:6" x14ac:dyDescent="0.3">
      <c r="A194" s="3"/>
      <c r="B194" s="4"/>
      <c r="C194" s="4"/>
      <c r="D194" s="2"/>
      <c r="E194" s="2"/>
      <c r="F194" s="4"/>
    </row>
    <row r="195" spans="1:6" x14ac:dyDescent="0.3">
      <c r="A195" s="3"/>
      <c r="B195" s="4"/>
      <c r="C195" s="4"/>
      <c r="D195" s="2"/>
      <c r="E195" s="2"/>
      <c r="F195" s="4"/>
    </row>
    <row r="196" spans="1:6" x14ac:dyDescent="0.3">
      <c r="A196" s="3"/>
      <c r="B196" s="4"/>
      <c r="C196" s="4"/>
      <c r="D196" s="2"/>
      <c r="E196" s="2"/>
      <c r="F196" s="4"/>
    </row>
    <row r="197" spans="1:6" x14ac:dyDescent="0.3">
      <c r="A197" s="3"/>
      <c r="B197" s="4"/>
      <c r="C197" s="4"/>
      <c r="D197" s="2"/>
      <c r="E197" s="2"/>
      <c r="F197" s="4"/>
    </row>
    <row r="198" spans="1:6" x14ac:dyDescent="0.3">
      <c r="A198" s="3"/>
      <c r="B198" s="4"/>
      <c r="C198" s="4"/>
      <c r="D198" s="2"/>
      <c r="E198" s="2"/>
      <c r="F198" s="4"/>
    </row>
    <row r="199" spans="1:6" x14ac:dyDescent="0.3">
      <c r="A199" s="3"/>
      <c r="B199" s="4"/>
      <c r="C199" s="4"/>
      <c r="D199" s="2"/>
      <c r="E199" s="2"/>
      <c r="F199" s="4"/>
    </row>
    <row r="200" spans="1:6" x14ac:dyDescent="0.3">
      <c r="A200" s="3"/>
      <c r="B200" s="4"/>
      <c r="C200" s="4"/>
      <c r="D200" s="2"/>
      <c r="E200" s="2"/>
      <c r="F200" s="4"/>
    </row>
    <row r="201" spans="1:6" x14ac:dyDescent="0.3">
      <c r="A201" s="3"/>
      <c r="B201" s="4"/>
      <c r="C201" s="4"/>
      <c r="D201" s="2"/>
      <c r="E201" s="2"/>
      <c r="F201" s="4"/>
    </row>
  </sheetData>
  <dataValidations count="2">
    <dataValidation type="list" allowBlank="1" sqref="B2:B1000" xr:uid="{00000000-0002-0000-0900-000000000000}">
      <formula1>"Organic Search,Paid Search,Social Organic,Social Paid,KOC,Direct,Khác"</formula1>
    </dataValidation>
    <dataValidation type="list" allowBlank="1" sqref="C2:C1000" xr:uid="{00000000-0002-0000-0900-000001000000}">
      <formula1>"Organic,Paid,Khác"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12" customWidth="1"/>
    <col min="3" max="3" width="16" customWidth="1"/>
    <col min="4" max="4" width="20" customWidth="1"/>
    <col min="5" max="5" width="21" customWidth="1"/>
  </cols>
  <sheetData>
    <row r="1" spans="1:5" ht="31.95" customHeight="1" x14ac:dyDescent="0.3">
      <c r="A1" s="19" t="s">
        <v>352</v>
      </c>
      <c r="B1" s="19" t="s">
        <v>353</v>
      </c>
      <c r="C1" s="19" t="s">
        <v>354</v>
      </c>
      <c r="D1" s="19" t="s">
        <v>355</v>
      </c>
      <c r="E1" s="19" t="s">
        <v>356</v>
      </c>
    </row>
    <row r="2" spans="1:5" x14ac:dyDescent="0.3">
      <c r="A2" s="20" t="s">
        <v>357</v>
      </c>
      <c r="B2" s="21">
        <v>318</v>
      </c>
      <c r="C2" s="21">
        <v>124350</v>
      </c>
      <c r="D2" s="27">
        <f>B2/SUM($B$2:$B$5)</f>
        <v>0.63600000000000001</v>
      </c>
      <c r="E2" s="27">
        <f>C2/SUM($C$2:$C$5)</f>
        <v>0.60393394851869842</v>
      </c>
    </row>
    <row r="3" spans="1:5" x14ac:dyDescent="0.3">
      <c r="A3" s="5" t="s">
        <v>358</v>
      </c>
      <c r="B3" s="6">
        <v>21</v>
      </c>
      <c r="C3" s="6">
        <v>2850</v>
      </c>
      <c r="D3" s="26">
        <f>B3/SUM($B$2:$B$5)</f>
        <v>4.2000000000000003E-2</v>
      </c>
      <c r="E3" s="26">
        <f>C3/SUM($C$2:$C$5)</f>
        <v>1.3841670713938806E-2</v>
      </c>
    </row>
    <row r="4" spans="1:5" x14ac:dyDescent="0.3">
      <c r="A4" s="20" t="s">
        <v>359</v>
      </c>
      <c r="B4" s="21">
        <v>134</v>
      </c>
      <c r="C4" s="21">
        <v>71950</v>
      </c>
      <c r="D4" s="27">
        <f>B4/SUM($B$2:$B$5)</f>
        <v>0.26800000000000002</v>
      </c>
      <c r="E4" s="27">
        <f>C4/SUM($C$2:$C$5)</f>
        <v>0.34944147644487616</v>
      </c>
    </row>
    <row r="5" spans="1:5" x14ac:dyDescent="0.3">
      <c r="A5" s="5" t="s">
        <v>360</v>
      </c>
      <c r="B5" s="6">
        <v>27</v>
      </c>
      <c r="C5" s="6">
        <v>6750</v>
      </c>
      <c r="D5" s="26">
        <f>B5/SUM($B$2:$B$5)</f>
        <v>5.3999999999999999E-2</v>
      </c>
      <c r="E5" s="26">
        <f>C5/SUM($C$2:$C$5)</f>
        <v>3.2782904322486643E-2</v>
      </c>
    </row>
    <row r="8" spans="1:5" ht="68.400000000000006" x14ac:dyDescent="0.3">
      <c r="A8" s="32" t="s">
        <v>361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showGridLines="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7" width="34" customWidth="1"/>
    <col min="8" max="8" width="25" customWidth="1"/>
    <col min="9" max="12" width="20" customWidth="1"/>
    <col min="13" max="14" width="34" customWidth="1"/>
  </cols>
  <sheetData>
    <row r="1" spans="1:14" ht="31.95" customHeight="1" x14ac:dyDescent="0.3">
      <c r="A1" s="19" t="s">
        <v>1</v>
      </c>
      <c r="B1" s="19" t="s">
        <v>314</v>
      </c>
      <c r="C1" s="19" t="s">
        <v>4</v>
      </c>
      <c r="D1" s="19" t="s">
        <v>3</v>
      </c>
      <c r="E1" s="19" t="s">
        <v>315</v>
      </c>
      <c r="F1" s="19" t="s">
        <v>7</v>
      </c>
      <c r="G1" s="19" t="s">
        <v>8</v>
      </c>
      <c r="H1" s="19" t="s">
        <v>362</v>
      </c>
      <c r="I1" s="19" t="s">
        <v>100</v>
      </c>
      <c r="J1" s="19" t="s">
        <v>363</v>
      </c>
      <c r="K1" s="19" t="s">
        <v>364</v>
      </c>
      <c r="L1" s="19" t="s">
        <v>365</v>
      </c>
      <c r="M1" s="19" t="s">
        <v>366</v>
      </c>
      <c r="N1" s="19" t="s">
        <v>159</v>
      </c>
    </row>
    <row r="2" spans="1:14" x14ac:dyDescent="0.3">
      <c r="A2" s="20" t="s">
        <v>367</v>
      </c>
      <c r="B2" s="22">
        <f>SUM(Nhap_SEM!E2:E1000)</f>
        <v>0</v>
      </c>
      <c r="C2" s="22">
        <f>SUM(Nhap_SEM!F2:F1000)</f>
        <v>0</v>
      </c>
      <c r="D2" s="1"/>
      <c r="E2" s="22">
        <f>SUM(Nhap_SEM!G2:G1000)</f>
        <v>0</v>
      </c>
      <c r="F2" s="22">
        <f>SUM(Nhap_SEM!H2:H1000)</f>
        <v>0</v>
      </c>
      <c r="G2" s="22">
        <f>SUM(Nhap_SEM!I2:I1000)</f>
        <v>0</v>
      </c>
      <c r="H2" s="22" t="str">
        <f>IF(C2=0,"",B2/C2*1000)</f>
        <v/>
      </c>
      <c r="I2" s="33" t="str">
        <f>IF(C2=0,"",E2/C2)</f>
        <v/>
      </c>
      <c r="J2" s="22" t="str">
        <f>IF(E2=0,"",B2/E2)</f>
        <v/>
      </c>
      <c r="K2" s="22" t="str">
        <f>IF(F2=0,"",B2/F2)</f>
        <v/>
      </c>
      <c r="L2" s="34" t="str">
        <f>IF(B2=0,"",G2/B2)</f>
        <v/>
      </c>
      <c r="M2" s="22" t="str">
        <f>IF(GD3_Dau_vao!B10="","",GD3_Dau_vao!B10)</f>
        <v/>
      </c>
      <c r="N2" s="20" t="str">
        <f>IF(OR(K2="",M2=""),"",IF(K2&gt;=M2*(1+GD3_Dau_vao!B12),"Vượt ngưỡng","Trong ngưỡng"))</f>
        <v/>
      </c>
    </row>
    <row r="3" spans="1:14" x14ac:dyDescent="0.3">
      <c r="A3" s="5" t="s">
        <v>204</v>
      </c>
      <c r="B3" s="7" t="e">
        <f>SUMIFS(#REF!,#REF!,$A3)</f>
        <v>#REF!</v>
      </c>
      <c r="C3" s="7" t="e">
        <f>SUMIFS(#REF!,#REF!,$A3)</f>
        <v>#REF!</v>
      </c>
      <c r="D3" s="7" t="e">
        <f>SUMIFS(#REF!,#REF!,$A3)</f>
        <v>#REF!</v>
      </c>
      <c r="E3" s="7" t="e">
        <f>SUMIFS(#REF!,#REF!,$A3)</f>
        <v>#REF!</v>
      </c>
      <c r="F3" s="7" t="e">
        <f>SUMIFS(#REF!,#REF!,$A3)</f>
        <v>#REF!</v>
      </c>
      <c r="G3" s="7" t="e">
        <f>SUMIFS(#REF!,#REF!,$A3)</f>
        <v>#REF!</v>
      </c>
      <c r="H3" s="7" t="e">
        <f>IF(C3=0,"",B3/C3*1000)</f>
        <v>#REF!</v>
      </c>
      <c r="I3" s="35" t="e">
        <f>IF(C3=0,"",E3/C3)</f>
        <v>#REF!</v>
      </c>
      <c r="J3" s="7" t="e">
        <f>IF(E3=0,"",B3/E3)</f>
        <v>#REF!</v>
      </c>
      <c r="K3" s="7" t="e">
        <f>IF(F3=0,"",B3/F3)</f>
        <v>#REF!</v>
      </c>
      <c r="L3" s="36" t="e">
        <f>IF(B3=0,"",G3/B3)</f>
        <v>#REF!</v>
      </c>
      <c r="M3" s="7" t="str">
        <f>IF(GD3_Dau_vao!B10="","",GD3_Dau_vao!B10)</f>
        <v/>
      </c>
      <c r="N3" s="5" t="e">
        <f>IF(OR(K3="",M3=""),"",IF(K3&gt;=M3*(1+GD3_Dau_vao!B12),"Vượt ngưỡng","Trong ngưỡng"))</f>
        <v>#REF!</v>
      </c>
    </row>
    <row r="4" spans="1:14" x14ac:dyDescent="0.3">
      <c r="A4" s="20" t="s">
        <v>209</v>
      </c>
      <c r="B4" s="22" t="e">
        <f>SUMIFS(#REF!,#REF!,$A4)</f>
        <v>#REF!</v>
      </c>
      <c r="C4" s="22" t="e">
        <f>SUMIFS(#REF!,#REF!,$A4)</f>
        <v>#REF!</v>
      </c>
      <c r="D4" s="22" t="e">
        <f>SUMIFS(#REF!,#REF!,$A4)</f>
        <v>#REF!</v>
      </c>
      <c r="E4" s="22" t="e">
        <f>SUMIFS(#REF!,#REF!,$A4)</f>
        <v>#REF!</v>
      </c>
      <c r="F4" s="22" t="e">
        <f>SUMIFS(#REF!,#REF!,$A4)</f>
        <v>#REF!</v>
      </c>
      <c r="G4" s="22" t="e">
        <f>SUMIFS(#REF!,#REF!,$A4)</f>
        <v>#REF!</v>
      </c>
      <c r="H4" s="22" t="e">
        <f>IF(C4=0,"",B4/C4*1000)</f>
        <v>#REF!</v>
      </c>
      <c r="I4" s="33" t="e">
        <f>IF(C4=0,"",E4/C4)</f>
        <v>#REF!</v>
      </c>
      <c r="J4" s="22" t="e">
        <f>IF(E4=0,"",B4/E4)</f>
        <v>#REF!</v>
      </c>
      <c r="K4" s="22" t="e">
        <f>IF(F4=0,"",B4/F4)</f>
        <v>#REF!</v>
      </c>
      <c r="L4" s="34" t="e">
        <f>IF(B4=0,"",G4/B4)</f>
        <v>#REF!</v>
      </c>
      <c r="M4" s="22" t="str">
        <f>IF(GD3_Dau_vao!B10="","",GD3_Dau_vao!B10)</f>
        <v/>
      </c>
      <c r="N4" s="20" t="e">
        <f>IF(OR(K4="",M4=""),"",IF(K4&gt;=M4*(1+GD3_Dau_vao!B12),"Vượt ngưỡng","Trong ngưỡng"))</f>
        <v>#REF!</v>
      </c>
    </row>
    <row r="5" spans="1:14" x14ac:dyDescent="0.3">
      <c r="A5" s="5" t="s">
        <v>280</v>
      </c>
      <c r="B5" s="7">
        <f>SUM(Nhap_KOC!F2:F1000)+SUM(Nhap_KOC!G2:G1000)</f>
        <v>3125000</v>
      </c>
      <c r="C5" s="7">
        <f>SUM(Nhap_KOC!J2:J1000)</f>
        <v>0</v>
      </c>
      <c r="D5" s="7">
        <f>SUM(Nhap_KOC!I2:I1000)</f>
        <v>0</v>
      </c>
      <c r="E5" s="7">
        <f>SUM(Nhap_KOC!K2:K1000)</f>
        <v>0</v>
      </c>
      <c r="F5" s="7">
        <f>SUM(Nhap_KOC!L2:L1000)</f>
        <v>0</v>
      </c>
      <c r="G5" s="7">
        <f>SUM(Nhap_KOC!M2:M1000)</f>
        <v>0</v>
      </c>
      <c r="H5" s="7" t="str">
        <f>IF(C5=0,"",B5/C5*1000)</f>
        <v/>
      </c>
      <c r="I5" s="35" t="str">
        <f>IF(C5=0,"",E5/C5)</f>
        <v/>
      </c>
      <c r="J5" s="7" t="str">
        <f>IF(E5=0,"",B5/E5)</f>
        <v/>
      </c>
      <c r="K5" s="7" t="str">
        <f>IF(F5=0,"",B5/F5)</f>
        <v/>
      </c>
      <c r="L5" s="36">
        <f>IF(B5=0,"",G5/B5)</f>
        <v>0</v>
      </c>
      <c r="M5" s="7" t="str">
        <f>IF(GD3_Dau_vao!B10="","",GD3_Dau_vao!B10)</f>
        <v/>
      </c>
      <c r="N5" s="5" t="str">
        <f>IF(OR(K5="",M5=""),"",IF(K5&gt;=M5*(1+GD3_Dau_vao!B12),"Vượt ngưỡng","Trong ngưỡng"))</f>
        <v/>
      </c>
    </row>
    <row r="6" spans="1:14" x14ac:dyDescent="0.3">
      <c r="A6" s="37" t="s">
        <v>368</v>
      </c>
      <c r="B6" s="38" t="e">
        <f t="shared" ref="B6:G6" si="0">SUM(B2:B5)</f>
        <v>#REF!</v>
      </c>
      <c r="C6" s="38" t="e">
        <f t="shared" si="0"/>
        <v>#REF!</v>
      </c>
      <c r="D6" s="38" t="e">
        <f t="shared" si="0"/>
        <v>#REF!</v>
      </c>
      <c r="E6" s="38" t="e">
        <f t="shared" si="0"/>
        <v>#REF!</v>
      </c>
      <c r="F6" s="38" t="e">
        <f t="shared" si="0"/>
        <v>#REF!</v>
      </c>
      <c r="G6" s="38" t="e">
        <f t="shared" si="0"/>
        <v>#REF!</v>
      </c>
      <c r="H6" s="38" t="e">
        <f>IF(C6=0,"",B6/C6*1000)</f>
        <v>#REF!</v>
      </c>
      <c r="I6" s="39" t="e">
        <f>IF(C6=0,"",E6/C6)</f>
        <v>#REF!</v>
      </c>
      <c r="J6" s="38" t="e">
        <f>IF(E6=0,"",B6/E6)</f>
        <v>#REF!</v>
      </c>
      <c r="K6" s="38" t="e">
        <f>IF(F6=0,"",B6/F6)</f>
        <v>#REF!</v>
      </c>
      <c r="L6" s="40" t="e">
        <f>IF(B6=0,"",G6/B6)</f>
        <v>#REF!</v>
      </c>
      <c r="M6" s="38" t="str">
        <f>IF(GD3_Dau_vao!B10="","",GD3_Dau_vao!B10)</f>
        <v/>
      </c>
      <c r="N6" s="37" t="e">
        <f>IF(OR(K6="",M6=""),"",IF(K6&gt;=M6*(1+GD3_Dau_vao!B12),"Vượt ngưỡng","Trong ngưỡng"))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6"/>
  <sheetViews>
    <sheetView showGridLines="0"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34" style="12" bestFit="1" customWidth="1"/>
    <col min="2" max="2" width="16" style="12" customWidth="1"/>
    <col min="3" max="3" width="34" customWidth="1"/>
    <col min="4" max="4" width="23" customWidth="1"/>
    <col min="5" max="6" width="12" style="12" customWidth="1"/>
    <col min="7" max="7" width="13" style="12" customWidth="1"/>
    <col min="8" max="8" width="12" style="12" bestFit="1" customWidth="1"/>
    <col min="9" max="9" width="15" customWidth="1"/>
    <col min="10" max="10" width="34" style="12" customWidth="1"/>
    <col min="11" max="11" width="8.88671875" style="12" customWidth="1"/>
    <col min="12" max="16384" width="8.88671875" style="12"/>
  </cols>
  <sheetData>
    <row r="1" spans="1:10" ht="31.95" customHeight="1" x14ac:dyDescent="0.3">
      <c r="A1" s="55" t="s">
        <v>369</v>
      </c>
      <c r="B1" s="56"/>
      <c r="C1" s="52"/>
      <c r="D1" s="52"/>
      <c r="E1" s="56"/>
      <c r="F1" s="56"/>
      <c r="G1" s="56"/>
      <c r="H1" s="56"/>
      <c r="I1" s="52"/>
      <c r="J1" s="56"/>
    </row>
    <row r="2" spans="1:10" x14ac:dyDescent="0.3">
      <c r="A2" s="57"/>
      <c r="B2" s="56"/>
      <c r="C2" s="52"/>
      <c r="D2" s="52"/>
      <c r="E2" s="56"/>
      <c r="F2" s="56"/>
      <c r="G2" s="56"/>
      <c r="H2" s="56"/>
      <c r="I2" s="52"/>
      <c r="J2" s="56"/>
    </row>
    <row r="4" spans="1:10" ht="27.6" customHeight="1" x14ac:dyDescent="0.25">
      <c r="A4" s="42" t="s">
        <v>0</v>
      </c>
      <c r="B4" s="42" t="s">
        <v>1</v>
      </c>
      <c r="C4" s="42" t="s">
        <v>222</v>
      </c>
      <c r="D4" s="42" t="s">
        <v>370</v>
      </c>
      <c r="E4" s="42" t="s">
        <v>337</v>
      </c>
      <c r="F4" s="42" t="s">
        <v>315</v>
      </c>
      <c r="G4" s="42" t="s">
        <v>4</v>
      </c>
      <c r="H4" s="42" t="s">
        <v>3</v>
      </c>
      <c r="I4" s="42" t="s">
        <v>314</v>
      </c>
      <c r="J4" s="42" t="s">
        <v>371</v>
      </c>
    </row>
    <row r="5" spans="1:10" ht="41.4" customHeight="1" x14ac:dyDescent="0.25">
      <c r="A5" s="43">
        <v>46296</v>
      </c>
      <c r="B5" s="44" t="s">
        <v>341</v>
      </c>
      <c r="C5" s="44" t="s">
        <v>184</v>
      </c>
      <c r="D5" s="44" t="s">
        <v>372</v>
      </c>
      <c r="E5" s="45">
        <v>42</v>
      </c>
      <c r="F5" s="45">
        <v>28</v>
      </c>
      <c r="G5" s="45">
        <v>610</v>
      </c>
      <c r="H5" s="11"/>
      <c r="I5" s="45">
        <v>0</v>
      </c>
      <c r="J5" s="44" t="s">
        <v>373</v>
      </c>
    </row>
    <row r="6" spans="1:10" ht="82.8" customHeight="1" x14ac:dyDescent="0.25">
      <c r="A6" s="46">
        <v>46296</v>
      </c>
      <c r="B6" s="47" t="s">
        <v>344</v>
      </c>
      <c r="C6" s="47" t="s">
        <v>374</v>
      </c>
      <c r="D6" s="47" t="s">
        <v>375</v>
      </c>
      <c r="E6" s="48">
        <v>31</v>
      </c>
      <c r="F6" s="48">
        <v>42</v>
      </c>
      <c r="G6" s="48">
        <v>1500</v>
      </c>
      <c r="H6" s="11"/>
      <c r="I6" s="48">
        <v>126000</v>
      </c>
      <c r="J6" s="47" t="s">
        <v>376</v>
      </c>
    </row>
    <row r="7" spans="1:10" ht="41.4" customHeight="1" x14ac:dyDescent="0.25">
      <c r="A7" s="43">
        <v>46296</v>
      </c>
      <c r="B7" s="44" t="s">
        <v>347</v>
      </c>
      <c r="C7" s="44" t="s">
        <v>206</v>
      </c>
      <c r="D7" s="44" t="s">
        <v>377</v>
      </c>
      <c r="E7" s="45">
        <v>12</v>
      </c>
      <c r="F7" s="45">
        <v>17</v>
      </c>
      <c r="G7" s="45">
        <v>980</v>
      </c>
      <c r="H7" s="45">
        <v>720</v>
      </c>
      <c r="I7" s="45">
        <v>0</v>
      </c>
      <c r="J7" s="44" t="s">
        <v>378</v>
      </c>
    </row>
    <row r="8" spans="1:10" ht="41.4" customHeight="1" x14ac:dyDescent="0.25">
      <c r="A8" s="46">
        <v>46297</v>
      </c>
      <c r="B8" s="47" t="s">
        <v>341</v>
      </c>
      <c r="C8" s="47" t="s">
        <v>184</v>
      </c>
      <c r="D8" s="47" t="s">
        <v>379</v>
      </c>
      <c r="E8" s="48">
        <v>48</v>
      </c>
      <c r="F8" s="48">
        <v>31</v>
      </c>
      <c r="G8" s="48">
        <v>650</v>
      </c>
      <c r="H8" s="11"/>
      <c r="I8" s="48">
        <v>0</v>
      </c>
      <c r="J8" s="47" t="s">
        <v>373</v>
      </c>
    </row>
    <row r="9" spans="1:10" ht="82.8" customHeight="1" x14ac:dyDescent="0.25">
      <c r="A9" s="43">
        <v>46297</v>
      </c>
      <c r="B9" s="44" t="s">
        <v>344</v>
      </c>
      <c r="C9" s="44" t="s">
        <v>374</v>
      </c>
      <c r="D9" s="44" t="s">
        <v>380</v>
      </c>
      <c r="E9" s="45">
        <v>35</v>
      </c>
      <c r="F9" s="45">
        <v>46</v>
      </c>
      <c r="G9" s="45">
        <v>1620</v>
      </c>
      <c r="H9" s="11"/>
      <c r="I9" s="45">
        <v>138000</v>
      </c>
      <c r="J9" s="44" t="s">
        <v>376</v>
      </c>
    </row>
    <row r="10" spans="1:10" ht="41.4" customHeight="1" x14ac:dyDescent="0.25">
      <c r="A10" s="46">
        <v>46297</v>
      </c>
      <c r="B10" s="47" t="s">
        <v>347</v>
      </c>
      <c r="C10" s="47" t="s">
        <v>206</v>
      </c>
      <c r="D10" s="47" t="s">
        <v>377</v>
      </c>
      <c r="E10" s="48">
        <v>14</v>
      </c>
      <c r="F10" s="48">
        <v>19</v>
      </c>
      <c r="G10" s="48">
        <v>1050</v>
      </c>
      <c r="H10" s="48">
        <v>770</v>
      </c>
      <c r="I10" s="48">
        <v>0</v>
      </c>
      <c r="J10" s="47" t="s">
        <v>378</v>
      </c>
    </row>
    <row r="11" spans="1:10" ht="41.4" customHeight="1" x14ac:dyDescent="0.25">
      <c r="A11" s="43">
        <v>46298</v>
      </c>
      <c r="B11" s="44" t="s">
        <v>341</v>
      </c>
      <c r="C11" s="44" t="s">
        <v>184</v>
      </c>
      <c r="D11" s="44" t="s">
        <v>379</v>
      </c>
      <c r="E11" s="45">
        <v>45</v>
      </c>
      <c r="F11" s="45">
        <v>29</v>
      </c>
      <c r="G11" s="45">
        <v>630</v>
      </c>
      <c r="H11" s="11"/>
      <c r="I11" s="45">
        <v>0</v>
      </c>
      <c r="J11" s="44" t="s">
        <v>373</v>
      </c>
    </row>
    <row r="12" spans="1:10" ht="82.8" customHeight="1" x14ac:dyDescent="0.25">
      <c r="A12" s="46">
        <v>46298</v>
      </c>
      <c r="B12" s="47" t="s">
        <v>344</v>
      </c>
      <c r="C12" s="47" t="s">
        <v>374</v>
      </c>
      <c r="D12" s="47" t="s">
        <v>380</v>
      </c>
      <c r="E12" s="48">
        <v>33</v>
      </c>
      <c r="F12" s="48">
        <v>44</v>
      </c>
      <c r="G12" s="48">
        <v>1580</v>
      </c>
      <c r="H12" s="11"/>
      <c r="I12" s="48">
        <v>132000</v>
      </c>
      <c r="J12" s="47" t="s">
        <v>376</v>
      </c>
    </row>
    <row r="13" spans="1:10" ht="41.4" customHeight="1" x14ac:dyDescent="0.25">
      <c r="A13" s="43">
        <v>46298</v>
      </c>
      <c r="B13" s="44" t="s">
        <v>347</v>
      </c>
      <c r="C13" s="44" t="s">
        <v>206</v>
      </c>
      <c r="D13" s="44" t="s">
        <v>377</v>
      </c>
      <c r="E13" s="45">
        <v>13</v>
      </c>
      <c r="F13" s="45">
        <v>18</v>
      </c>
      <c r="G13" s="45">
        <v>1010</v>
      </c>
      <c r="H13" s="45">
        <v>745</v>
      </c>
      <c r="I13" s="45">
        <v>0</v>
      </c>
      <c r="J13" s="44" t="s">
        <v>378</v>
      </c>
    </row>
    <row r="14" spans="1:10" ht="41.4" customHeight="1" x14ac:dyDescent="0.25">
      <c r="A14" s="46">
        <v>46299</v>
      </c>
      <c r="B14" s="47" t="s">
        <v>341</v>
      </c>
      <c r="C14" s="47" t="s">
        <v>184</v>
      </c>
      <c r="D14" s="47" t="s">
        <v>372</v>
      </c>
      <c r="E14" s="48">
        <v>53</v>
      </c>
      <c r="F14" s="48">
        <v>34</v>
      </c>
      <c r="G14" s="48">
        <v>700</v>
      </c>
      <c r="H14" s="11"/>
      <c r="I14" s="48">
        <v>0</v>
      </c>
      <c r="J14" s="47" t="s">
        <v>373</v>
      </c>
    </row>
    <row r="15" spans="1:10" ht="82.8" customHeight="1" x14ac:dyDescent="0.25">
      <c r="A15" s="43">
        <v>46299</v>
      </c>
      <c r="B15" s="44" t="s">
        <v>344</v>
      </c>
      <c r="C15" s="44" t="s">
        <v>374</v>
      </c>
      <c r="D15" s="44" t="s">
        <v>375</v>
      </c>
      <c r="E15" s="45">
        <v>38</v>
      </c>
      <c r="F15" s="45">
        <v>50</v>
      </c>
      <c r="G15" s="45">
        <v>1750</v>
      </c>
      <c r="H15" s="11"/>
      <c r="I15" s="45">
        <v>150000</v>
      </c>
      <c r="J15" s="44" t="s">
        <v>376</v>
      </c>
    </row>
    <row r="16" spans="1:10" ht="41.4" customHeight="1" x14ac:dyDescent="0.25">
      <c r="A16" s="46">
        <v>46299</v>
      </c>
      <c r="B16" s="47" t="s">
        <v>347</v>
      </c>
      <c r="C16" s="47" t="s">
        <v>206</v>
      </c>
      <c r="D16" s="47" t="s">
        <v>377</v>
      </c>
      <c r="E16" s="48">
        <v>16</v>
      </c>
      <c r="F16" s="48">
        <v>21</v>
      </c>
      <c r="G16" s="48">
        <v>1140</v>
      </c>
      <c r="H16" s="48">
        <v>830</v>
      </c>
      <c r="I16" s="48">
        <v>0</v>
      </c>
      <c r="J16" s="47" t="s">
        <v>378</v>
      </c>
    </row>
    <row r="17" spans="1:10" ht="41.4" customHeight="1" x14ac:dyDescent="0.25">
      <c r="A17" s="43">
        <v>46300</v>
      </c>
      <c r="B17" s="44" t="s">
        <v>341</v>
      </c>
      <c r="C17" s="44" t="s">
        <v>184</v>
      </c>
      <c r="D17" s="44" t="s">
        <v>379</v>
      </c>
      <c r="E17" s="45">
        <v>57</v>
      </c>
      <c r="F17" s="45">
        <v>37</v>
      </c>
      <c r="G17" s="45">
        <v>740</v>
      </c>
      <c r="H17" s="11"/>
      <c r="I17" s="45">
        <v>0</v>
      </c>
      <c r="J17" s="44" t="s">
        <v>373</v>
      </c>
    </row>
    <row r="18" spans="1:10" ht="82.8" customHeight="1" x14ac:dyDescent="0.25">
      <c r="A18" s="46">
        <v>46300</v>
      </c>
      <c r="B18" s="47" t="s">
        <v>344</v>
      </c>
      <c r="C18" s="47" t="s">
        <v>374</v>
      </c>
      <c r="D18" s="47" t="s">
        <v>380</v>
      </c>
      <c r="E18" s="48">
        <v>42</v>
      </c>
      <c r="F18" s="48">
        <v>55</v>
      </c>
      <c r="G18" s="48">
        <v>1880</v>
      </c>
      <c r="H18" s="11"/>
      <c r="I18" s="48">
        <v>165000</v>
      </c>
      <c r="J18" s="47" t="s">
        <v>376</v>
      </c>
    </row>
    <row r="19" spans="1:10" ht="41.4" customHeight="1" x14ac:dyDescent="0.25">
      <c r="A19" s="43">
        <v>46300</v>
      </c>
      <c r="B19" s="44" t="s">
        <v>347</v>
      </c>
      <c r="C19" s="44" t="s">
        <v>206</v>
      </c>
      <c r="D19" s="44" t="s">
        <v>377</v>
      </c>
      <c r="E19" s="45">
        <v>18</v>
      </c>
      <c r="F19" s="45">
        <v>24</v>
      </c>
      <c r="G19" s="45">
        <v>1240</v>
      </c>
      <c r="H19" s="45">
        <v>890</v>
      </c>
      <c r="I19" s="45">
        <v>0</v>
      </c>
      <c r="J19" s="44" t="s">
        <v>378</v>
      </c>
    </row>
    <row r="20" spans="1:10" ht="41.4" customHeight="1" x14ac:dyDescent="0.25">
      <c r="A20" s="46">
        <v>46301</v>
      </c>
      <c r="B20" s="47" t="s">
        <v>341</v>
      </c>
      <c r="C20" s="47" t="s">
        <v>184</v>
      </c>
      <c r="D20" s="47" t="s">
        <v>379</v>
      </c>
      <c r="E20" s="48">
        <v>51</v>
      </c>
      <c r="F20" s="48">
        <v>33</v>
      </c>
      <c r="G20" s="48">
        <v>715</v>
      </c>
      <c r="H20" s="11"/>
      <c r="I20" s="48">
        <v>0</v>
      </c>
      <c r="J20" s="47" t="s">
        <v>373</v>
      </c>
    </row>
    <row r="21" spans="1:10" ht="82.8" customHeight="1" x14ac:dyDescent="0.25">
      <c r="A21" s="43">
        <v>46301</v>
      </c>
      <c r="B21" s="44" t="s">
        <v>344</v>
      </c>
      <c r="C21" s="44" t="s">
        <v>374</v>
      </c>
      <c r="D21" s="44" t="s">
        <v>380</v>
      </c>
      <c r="E21" s="45">
        <v>37</v>
      </c>
      <c r="F21" s="45">
        <v>49</v>
      </c>
      <c r="G21" s="45">
        <v>1810</v>
      </c>
      <c r="H21" s="11"/>
      <c r="I21" s="45">
        <v>147000</v>
      </c>
      <c r="J21" s="44" t="s">
        <v>376</v>
      </c>
    </row>
    <row r="22" spans="1:10" ht="41.4" customHeight="1" x14ac:dyDescent="0.25">
      <c r="A22" s="46">
        <v>46301</v>
      </c>
      <c r="B22" s="47" t="s">
        <v>347</v>
      </c>
      <c r="C22" s="47" t="s">
        <v>206</v>
      </c>
      <c r="D22" s="47" t="s">
        <v>377</v>
      </c>
      <c r="E22" s="48">
        <v>15</v>
      </c>
      <c r="F22" s="48">
        <v>20</v>
      </c>
      <c r="G22" s="48">
        <v>1180</v>
      </c>
      <c r="H22" s="48">
        <v>850</v>
      </c>
      <c r="I22" s="48">
        <v>0</v>
      </c>
      <c r="J22" s="47" t="s">
        <v>378</v>
      </c>
    </row>
    <row r="23" spans="1:10" ht="41.4" customHeight="1" x14ac:dyDescent="0.25">
      <c r="A23" s="43">
        <v>46302</v>
      </c>
      <c r="B23" s="44" t="s">
        <v>341</v>
      </c>
      <c r="C23" s="44" t="s">
        <v>184</v>
      </c>
      <c r="D23" s="44" t="s">
        <v>372</v>
      </c>
      <c r="E23" s="45">
        <v>60</v>
      </c>
      <c r="F23" s="45">
        <v>39</v>
      </c>
      <c r="G23" s="45">
        <v>780</v>
      </c>
      <c r="H23" s="11"/>
      <c r="I23" s="45">
        <v>0</v>
      </c>
      <c r="J23" s="44" t="s">
        <v>373</v>
      </c>
    </row>
    <row r="24" spans="1:10" ht="82.8" customHeight="1" x14ac:dyDescent="0.25">
      <c r="A24" s="46">
        <v>46302</v>
      </c>
      <c r="B24" s="47" t="s">
        <v>344</v>
      </c>
      <c r="C24" s="47" t="s">
        <v>374</v>
      </c>
      <c r="D24" s="47" t="s">
        <v>380</v>
      </c>
      <c r="E24" s="48">
        <v>44</v>
      </c>
      <c r="F24" s="48">
        <v>58</v>
      </c>
      <c r="G24" s="48">
        <v>1990</v>
      </c>
      <c r="H24" s="11"/>
      <c r="I24" s="48">
        <v>174000</v>
      </c>
      <c r="J24" s="47" t="s">
        <v>376</v>
      </c>
    </row>
    <row r="25" spans="1:10" ht="41.4" customHeight="1" x14ac:dyDescent="0.25">
      <c r="A25" s="43">
        <v>46302</v>
      </c>
      <c r="B25" s="44" t="s">
        <v>347</v>
      </c>
      <c r="C25" s="44" t="s">
        <v>206</v>
      </c>
      <c r="D25" s="44" t="s">
        <v>377</v>
      </c>
      <c r="E25" s="45">
        <v>19</v>
      </c>
      <c r="F25" s="45">
        <v>25</v>
      </c>
      <c r="G25" s="45">
        <v>1300</v>
      </c>
      <c r="H25" s="45">
        <v>930</v>
      </c>
      <c r="I25" s="45">
        <v>0</v>
      </c>
      <c r="J25" s="44" t="s">
        <v>378</v>
      </c>
    </row>
    <row r="26" spans="1:10" ht="41.4" customHeight="1" x14ac:dyDescent="0.25">
      <c r="A26" s="46">
        <v>46303</v>
      </c>
      <c r="B26" s="47" t="s">
        <v>341</v>
      </c>
      <c r="C26" s="47" t="s">
        <v>184</v>
      </c>
      <c r="D26" s="47" t="s">
        <v>379</v>
      </c>
      <c r="E26" s="48">
        <v>62</v>
      </c>
      <c r="F26" s="48">
        <v>41</v>
      </c>
      <c r="G26" s="48">
        <v>810</v>
      </c>
      <c r="H26" s="11"/>
      <c r="I26" s="48">
        <v>0</v>
      </c>
      <c r="J26" s="47" t="s">
        <v>373</v>
      </c>
    </row>
    <row r="27" spans="1:10" ht="82.8" customHeight="1" x14ac:dyDescent="0.25">
      <c r="A27" s="43">
        <v>46303</v>
      </c>
      <c r="B27" s="44" t="s">
        <v>344</v>
      </c>
      <c r="C27" s="44" t="s">
        <v>374</v>
      </c>
      <c r="D27" s="44" t="s">
        <v>380</v>
      </c>
      <c r="E27" s="45">
        <v>46</v>
      </c>
      <c r="F27" s="45">
        <v>60</v>
      </c>
      <c r="G27" s="45">
        <v>2050</v>
      </c>
      <c r="H27" s="11"/>
      <c r="I27" s="45">
        <v>180000</v>
      </c>
      <c r="J27" s="44" t="s">
        <v>376</v>
      </c>
    </row>
    <row r="28" spans="1:10" ht="41.4" customHeight="1" x14ac:dyDescent="0.25">
      <c r="A28" s="46">
        <v>46303</v>
      </c>
      <c r="B28" s="47" t="s">
        <v>347</v>
      </c>
      <c r="C28" s="47" t="s">
        <v>206</v>
      </c>
      <c r="D28" s="47" t="s">
        <v>377</v>
      </c>
      <c r="E28" s="48">
        <v>20</v>
      </c>
      <c r="F28" s="48">
        <v>27</v>
      </c>
      <c r="G28" s="48">
        <v>1380</v>
      </c>
      <c r="H28" s="48">
        <v>990</v>
      </c>
      <c r="I28" s="48">
        <v>0</v>
      </c>
      <c r="J28" s="47" t="s">
        <v>378</v>
      </c>
    </row>
    <row r="29" spans="1:10" ht="41.4" customHeight="1" x14ac:dyDescent="0.25">
      <c r="A29" s="43">
        <v>46304</v>
      </c>
      <c r="B29" s="44" t="s">
        <v>341</v>
      </c>
      <c r="C29" s="44" t="s">
        <v>184</v>
      </c>
      <c r="D29" s="44" t="s">
        <v>379</v>
      </c>
      <c r="E29" s="45">
        <v>58</v>
      </c>
      <c r="F29" s="45">
        <v>38</v>
      </c>
      <c r="G29" s="45">
        <v>790</v>
      </c>
      <c r="H29" s="11"/>
      <c r="I29" s="45">
        <v>0</v>
      </c>
      <c r="J29" s="44" t="s">
        <v>373</v>
      </c>
    </row>
    <row r="30" spans="1:10" ht="82.8" customHeight="1" x14ac:dyDescent="0.25">
      <c r="A30" s="46">
        <v>46304</v>
      </c>
      <c r="B30" s="47" t="s">
        <v>344</v>
      </c>
      <c r="C30" s="47" t="s">
        <v>374</v>
      </c>
      <c r="D30" s="47" t="s">
        <v>380</v>
      </c>
      <c r="E30" s="48">
        <v>43</v>
      </c>
      <c r="F30" s="48">
        <v>57</v>
      </c>
      <c r="G30" s="48">
        <v>2010</v>
      </c>
      <c r="H30" s="11"/>
      <c r="I30" s="48">
        <v>171000</v>
      </c>
      <c r="J30" s="47" t="s">
        <v>376</v>
      </c>
    </row>
    <row r="31" spans="1:10" ht="41.4" customHeight="1" x14ac:dyDescent="0.25">
      <c r="A31" s="43">
        <v>46304</v>
      </c>
      <c r="B31" s="44" t="s">
        <v>347</v>
      </c>
      <c r="C31" s="44" t="s">
        <v>206</v>
      </c>
      <c r="D31" s="44" t="s">
        <v>377</v>
      </c>
      <c r="E31" s="45">
        <v>18</v>
      </c>
      <c r="F31" s="45">
        <v>24</v>
      </c>
      <c r="G31" s="45">
        <v>1330</v>
      </c>
      <c r="H31" s="45">
        <v>950</v>
      </c>
      <c r="I31" s="45">
        <v>0</v>
      </c>
      <c r="J31" s="44" t="s">
        <v>378</v>
      </c>
    </row>
    <row r="32" spans="1:10" ht="41.4" customHeight="1" x14ac:dyDescent="0.25">
      <c r="A32" s="46">
        <v>46305</v>
      </c>
      <c r="B32" s="47" t="s">
        <v>341</v>
      </c>
      <c r="C32" s="47" t="s">
        <v>184</v>
      </c>
      <c r="D32" s="47" t="s">
        <v>379</v>
      </c>
      <c r="E32" s="48">
        <v>65</v>
      </c>
      <c r="F32" s="48">
        <v>43</v>
      </c>
      <c r="G32" s="48">
        <v>860</v>
      </c>
      <c r="H32" s="11"/>
      <c r="I32" s="48">
        <v>0</v>
      </c>
      <c r="J32" s="47" t="s">
        <v>373</v>
      </c>
    </row>
    <row r="33" spans="1:10" ht="82.8" customHeight="1" x14ac:dyDescent="0.25">
      <c r="A33" s="43">
        <v>46305</v>
      </c>
      <c r="B33" s="44" t="s">
        <v>344</v>
      </c>
      <c r="C33" s="44" t="s">
        <v>374</v>
      </c>
      <c r="D33" s="44" t="s">
        <v>380</v>
      </c>
      <c r="E33" s="45">
        <v>48</v>
      </c>
      <c r="F33" s="45">
        <v>63</v>
      </c>
      <c r="G33" s="45">
        <v>2180</v>
      </c>
      <c r="H33" s="11"/>
      <c r="I33" s="45">
        <v>189000</v>
      </c>
      <c r="J33" s="44" t="s">
        <v>376</v>
      </c>
    </row>
    <row r="34" spans="1:10" ht="41.4" customHeight="1" x14ac:dyDescent="0.25">
      <c r="A34" s="46">
        <v>46305</v>
      </c>
      <c r="B34" s="47" t="s">
        <v>347</v>
      </c>
      <c r="C34" s="47" t="s">
        <v>206</v>
      </c>
      <c r="D34" s="47" t="s">
        <v>377</v>
      </c>
      <c r="E34" s="48">
        <v>22</v>
      </c>
      <c r="F34" s="48">
        <v>29</v>
      </c>
      <c r="G34" s="48">
        <v>1480</v>
      </c>
      <c r="H34" s="48">
        <v>1050</v>
      </c>
      <c r="I34" s="48">
        <v>0</v>
      </c>
      <c r="J34" s="47" t="s">
        <v>378</v>
      </c>
    </row>
    <row r="35" spans="1:10" ht="41.4" customHeight="1" x14ac:dyDescent="0.25">
      <c r="A35" s="43">
        <v>46306</v>
      </c>
      <c r="B35" s="44" t="s">
        <v>341</v>
      </c>
      <c r="C35" s="44" t="s">
        <v>184</v>
      </c>
      <c r="D35" s="44" t="s">
        <v>379</v>
      </c>
      <c r="E35" s="45">
        <v>68</v>
      </c>
      <c r="F35" s="45">
        <v>45</v>
      </c>
      <c r="G35" s="45">
        <v>900</v>
      </c>
      <c r="H35" s="11"/>
      <c r="I35" s="45">
        <v>0</v>
      </c>
      <c r="J35" s="44" t="s">
        <v>373</v>
      </c>
    </row>
    <row r="36" spans="1:10" ht="82.8" customHeight="1" x14ac:dyDescent="0.25">
      <c r="A36" s="46">
        <v>46306</v>
      </c>
      <c r="B36" s="47" t="s">
        <v>344</v>
      </c>
      <c r="C36" s="47" t="s">
        <v>374</v>
      </c>
      <c r="D36" s="47" t="s">
        <v>380</v>
      </c>
      <c r="E36" s="48">
        <v>50</v>
      </c>
      <c r="F36" s="48">
        <v>66</v>
      </c>
      <c r="G36" s="48">
        <v>2270</v>
      </c>
      <c r="H36" s="11"/>
      <c r="I36" s="48">
        <v>198000</v>
      </c>
      <c r="J36" s="47" t="s">
        <v>376</v>
      </c>
    </row>
    <row r="37" spans="1:10" ht="41.4" customHeight="1" x14ac:dyDescent="0.25">
      <c r="A37" s="43">
        <v>46306</v>
      </c>
      <c r="B37" s="44" t="s">
        <v>347</v>
      </c>
      <c r="C37" s="44" t="s">
        <v>206</v>
      </c>
      <c r="D37" s="44" t="s">
        <v>377</v>
      </c>
      <c r="E37" s="45">
        <v>23</v>
      </c>
      <c r="F37" s="45">
        <v>31</v>
      </c>
      <c r="G37" s="45">
        <v>1550</v>
      </c>
      <c r="H37" s="45">
        <v>1110</v>
      </c>
      <c r="I37" s="45">
        <v>0</v>
      </c>
      <c r="J37" s="44" t="s">
        <v>378</v>
      </c>
    </row>
    <row r="38" spans="1:10" ht="41.4" customHeight="1" x14ac:dyDescent="0.25">
      <c r="A38" s="46">
        <v>46307</v>
      </c>
      <c r="B38" s="47" t="s">
        <v>341</v>
      </c>
      <c r="C38" s="47" t="s">
        <v>184</v>
      </c>
      <c r="D38" s="47" t="s">
        <v>379</v>
      </c>
      <c r="E38" s="48">
        <v>64</v>
      </c>
      <c r="F38" s="48">
        <v>42</v>
      </c>
      <c r="G38" s="48">
        <v>875</v>
      </c>
      <c r="H38" s="11"/>
      <c r="I38" s="48">
        <v>0</v>
      </c>
      <c r="J38" s="47" t="s">
        <v>373</v>
      </c>
    </row>
    <row r="39" spans="1:10" ht="82.8" customHeight="1" x14ac:dyDescent="0.25">
      <c r="A39" s="43">
        <v>46307</v>
      </c>
      <c r="B39" s="44" t="s">
        <v>344</v>
      </c>
      <c r="C39" s="44" t="s">
        <v>374</v>
      </c>
      <c r="D39" s="44" t="s">
        <v>380</v>
      </c>
      <c r="E39" s="45">
        <v>47</v>
      </c>
      <c r="F39" s="45">
        <v>62</v>
      </c>
      <c r="G39" s="45">
        <v>2200</v>
      </c>
      <c r="H39" s="11"/>
      <c r="I39" s="45">
        <v>186000</v>
      </c>
      <c r="J39" s="44" t="s">
        <v>376</v>
      </c>
    </row>
    <row r="40" spans="1:10" ht="41.4" customHeight="1" x14ac:dyDescent="0.25">
      <c r="A40" s="46">
        <v>46307</v>
      </c>
      <c r="B40" s="47" t="s">
        <v>347</v>
      </c>
      <c r="C40" s="47" t="s">
        <v>206</v>
      </c>
      <c r="D40" s="47" t="s">
        <v>377</v>
      </c>
      <c r="E40" s="48">
        <v>21</v>
      </c>
      <c r="F40" s="48">
        <v>28</v>
      </c>
      <c r="G40" s="48">
        <v>1500</v>
      </c>
      <c r="H40" s="48">
        <v>1080</v>
      </c>
      <c r="I40" s="48">
        <v>0</v>
      </c>
      <c r="J40" s="47" t="s">
        <v>378</v>
      </c>
    </row>
    <row r="41" spans="1:10" ht="41.4" customHeight="1" x14ac:dyDescent="0.25">
      <c r="A41" s="43">
        <v>46308</v>
      </c>
      <c r="B41" s="44" t="s">
        <v>341</v>
      </c>
      <c r="C41" s="44" t="s">
        <v>184</v>
      </c>
      <c r="D41" s="44" t="s">
        <v>379</v>
      </c>
      <c r="E41" s="45">
        <v>71</v>
      </c>
      <c r="F41" s="45">
        <v>47</v>
      </c>
      <c r="G41" s="45">
        <v>940</v>
      </c>
      <c r="H41" s="11"/>
      <c r="I41" s="45">
        <v>0</v>
      </c>
      <c r="J41" s="44" t="s">
        <v>373</v>
      </c>
    </row>
    <row r="42" spans="1:10" ht="82.8" customHeight="1" x14ac:dyDescent="0.25">
      <c r="A42" s="46">
        <v>46308</v>
      </c>
      <c r="B42" s="47" t="s">
        <v>344</v>
      </c>
      <c r="C42" s="47" t="s">
        <v>374</v>
      </c>
      <c r="D42" s="47" t="s">
        <v>375</v>
      </c>
      <c r="E42" s="48">
        <v>53</v>
      </c>
      <c r="F42" s="48">
        <v>69</v>
      </c>
      <c r="G42" s="48">
        <v>2390</v>
      </c>
      <c r="H42" s="11"/>
      <c r="I42" s="48">
        <v>207000</v>
      </c>
      <c r="J42" s="47" t="s">
        <v>376</v>
      </c>
    </row>
    <row r="43" spans="1:10" ht="41.4" customHeight="1" x14ac:dyDescent="0.25">
      <c r="A43" s="43">
        <v>46308</v>
      </c>
      <c r="B43" s="44" t="s">
        <v>347</v>
      </c>
      <c r="C43" s="44" t="s">
        <v>206</v>
      </c>
      <c r="D43" s="44" t="s">
        <v>377</v>
      </c>
      <c r="E43" s="45">
        <v>24</v>
      </c>
      <c r="F43" s="45">
        <v>32</v>
      </c>
      <c r="G43" s="45">
        <v>1640</v>
      </c>
      <c r="H43" s="45">
        <v>1170</v>
      </c>
      <c r="I43" s="45">
        <v>0</v>
      </c>
      <c r="J43" s="44" t="s">
        <v>378</v>
      </c>
    </row>
    <row r="44" spans="1:10" ht="41.4" customHeight="1" x14ac:dyDescent="0.25">
      <c r="A44" s="46">
        <v>46309</v>
      </c>
      <c r="B44" s="47" t="s">
        <v>341</v>
      </c>
      <c r="C44" s="47" t="s">
        <v>184</v>
      </c>
      <c r="D44" s="47" t="s">
        <v>379</v>
      </c>
      <c r="E44" s="48">
        <v>75</v>
      </c>
      <c r="F44" s="48">
        <v>50</v>
      </c>
      <c r="G44" s="48">
        <v>990</v>
      </c>
      <c r="H44" s="11"/>
      <c r="I44" s="48">
        <v>0</v>
      </c>
      <c r="J44" s="47" t="s">
        <v>373</v>
      </c>
    </row>
    <row r="45" spans="1:10" ht="82.8" customHeight="1" x14ac:dyDescent="0.25">
      <c r="A45" s="43">
        <v>46309</v>
      </c>
      <c r="B45" s="44" t="s">
        <v>344</v>
      </c>
      <c r="C45" s="44" t="s">
        <v>374</v>
      </c>
      <c r="D45" s="44" t="s">
        <v>380</v>
      </c>
      <c r="E45" s="45">
        <v>56</v>
      </c>
      <c r="F45" s="45">
        <v>73</v>
      </c>
      <c r="G45" s="45">
        <v>2510</v>
      </c>
      <c r="H45" s="11"/>
      <c r="I45" s="45">
        <v>219000</v>
      </c>
      <c r="J45" s="44" t="s">
        <v>376</v>
      </c>
    </row>
    <row r="46" spans="1:10" ht="41.4" customHeight="1" x14ac:dyDescent="0.25">
      <c r="A46" s="46">
        <v>46309</v>
      </c>
      <c r="B46" s="47" t="s">
        <v>347</v>
      </c>
      <c r="C46" s="47" t="s">
        <v>206</v>
      </c>
      <c r="D46" s="47" t="s">
        <v>381</v>
      </c>
      <c r="E46" s="48">
        <v>27</v>
      </c>
      <c r="F46" s="48">
        <v>36</v>
      </c>
      <c r="G46" s="48">
        <v>1780</v>
      </c>
      <c r="H46" s="48">
        <v>1280</v>
      </c>
      <c r="I46" s="48">
        <v>0</v>
      </c>
      <c r="J46" s="47" t="s">
        <v>378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6" customWidth="1"/>
    <col min="3" max="3" width="34" customWidth="1"/>
    <col min="4" max="4" width="24" customWidth="1"/>
    <col min="5" max="6" width="12" customWidth="1"/>
    <col min="7" max="7" width="13" customWidth="1"/>
    <col min="8" max="8" width="12" customWidth="1"/>
    <col min="9" max="9" width="15" customWidth="1"/>
    <col min="10" max="10" width="19" customWidth="1"/>
    <col min="11" max="11" width="34" customWidth="1"/>
  </cols>
  <sheetData>
    <row r="1" spans="1:11" ht="31.95" customHeight="1" x14ac:dyDescent="0.3">
      <c r="A1" s="41" t="s">
        <v>0</v>
      </c>
      <c r="B1" s="41" t="s">
        <v>1</v>
      </c>
      <c r="C1" s="41" t="s">
        <v>222</v>
      </c>
      <c r="D1" s="41" t="s">
        <v>382</v>
      </c>
      <c r="E1" s="41" t="s">
        <v>337</v>
      </c>
      <c r="F1" s="41" t="s">
        <v>315</v>
      </c>
      <c r="G1" s="41" t="s">
        <v>4</v>
      </c>
      <c r="H1" s="41" t="s">
        <v>3</v>
      </c>
      <c r="I1" s="41" t="s">
        <v>314</v>
      </c>
      <c r="J1" s="41" t="s">
        <v>9</v>
      </c>
      <c r="K1" s="41" t="s">
        <v>371</v>
      </c>
    </row>
    <row r="2" spans="1:11" ht="28.8" x14ac:dyDescent="0.3">
      <c r="A2" s="49">
        <v>46296</v>
      </c>
      <c r="B2" s="16" t="s">
        <v>341</v>
      </c>
      <c r="C2" s="16" t="s">
        <v>184</v>
      </c>
      <c r="D2" s="16" t="s">
        <v>372</v>
      </c>
      <c r="E2" s="16">
        <v>42</v>
      </c>
      <c r="F2" s="16">
        <v>28</v>
      </c>
      <c r="G2" s="16">
        <v>610</v>
      </c>
      <c r="I2" s="16">
        <v>0</v>
      </c>
      <c r="J2" s="16" t="s">
        <v>383</v>
      </c>
      <c r="K2" s="16" t="s">
        <v>373</v>
      </c>
    </row>
    <row r="3" spans="1:11" ht="28.8" x14ac:dyDescent="0.3">
      <c r="A3" s="50">
        <v>46296</v>
      </c>
      <c r="B3" s="14" t="s">
        <v>344</v>
      </c>
      <c r="C3" s="14" t="s">
        <v>374</v>
      </c>
      <c r="D3" s="14" t="s">
        <v>375</v>
      </c>
      <c r="E3" s="14">
        <v>31</v>
      </c>
      <c r="F3" s="14">
        <v>42</v>
      </c>
      <c r="G3" s="14">
        <v>1500</v>
      </c>
      <c r="I3" s="14">
        <v>126000</v>
      </c>
      <c r="J3" s="14" t="s">
        <v>383</v>
      </c>
      <c r="K3" s="14" t="s">
        <v>376</v>
      </c>
    </row>
    <row r="4" spans="1:11" ht="28.8" x14ac:dyDescent="0.3">
      <c r="A4" s="49">
        <v>46296</v>
      </c>
      <c r="B4" s="16" t="s">
        <v>347</v>
      </c>
      <c r="C4" s="16" t="s">
        <v>206</v>
      </c>
      <c r="D4" s="16" t="s">
        <v>377</v>
      </c>
      <c r="E4" s="16">
        <v>12</v>
      </c>
      <c r="F4" s="16">
        <v>17</v>
      </c>
      <c r="G4" s="16">
        <v>980</v>
      </c>
      <c r="H4" s="16">
        <v>720</v>
      </c>
      <c r="I4" s="16">
        <v>0</v>
      </c>
      <c r="J4" s="16" t="s">
        <v>383</v>
      </c>
      <c r="K4" s="16" t="s">
        <v>378</v>
      </c>
    </row>
    <row r="5" spans="1:11" ht="28.8" x14ac:dyDescent="0.3">
      <c r="A5" s="50">
        <v>46297</v>
      </c>
      <c r="B5" s="14" t="s">
        <v>341</v>
      </c>
      <c r="C5" s="14" t="s">
        <v>184</v>
      </c>
      <c r="D5" s="14" t="s">
        <v>379</v>
      </c>
      <c r="E5" s="14">
        <v>48</v>
      </c>
      <c r="F5" s="14">
        <v>31</v>
      </c>
      <c r="G5" s="14">
        <v>650</v>
      </c>
      <c r="I5" s="14">
        <v>0</v>
      </c>
      <c r="J5" s="14" t="s">
        <v>383</v>
      </c>
      <c r="K5" s="14" t="s">
        <v>373</v>
      </c>
    </row>
    <row r="6" spans="1:11" ht="28.8" x14ac:dyDescent="0.3">
      <c r="A6" s="49">
        <v>46297</v>
      </c>
      <c r="B6" s="16" t="s">
        <v>344</v>
      </c>
      <c r="C6" s="16" t="s">
        <v>374</v>
      </c>
      <c r="D6" s="16" t="s">
        <v>380</v>
      </c>
      <c r="E6" s="16">
        <v>35</v>
      </c>
      <c r="F6" s="16">
        <v>46</v>
      </c>
      <c r="G6" s="16">
        <v>1620</v>
      </c>
      <c r="I6" s="16">
        <v>138000</v>
      </c>
      <c r="J6" s="16" t="s">
        <v>383</v>
      </c>
      <c r="K6" s="16" t="s">
        <v>376</v>
      </c>
    </row>
    <row r="7" spans="1:11" ht="28.8" x14ac:dyDescent="0.3">
      <c r="A7" s="50">
        <v>46297</v>
      </c>
      <c r="B7" s="14" t="s">
        <v>347</v>
      </c>
      <c r="C7" s="14" t="s">
        <v>206</v>
      </c>
      <c r="D7" s="14" t="s">
        <v>377</v>
      </c>
      <c r="E7" s="14">
        <v>14</v>
      </c>
      <c r="F7" s="14">
        <v>19</v>
      </c>
      <c r="G7" s="14">
        <v>1050</v>
      </c>
      <c r="H7" s="14">
        <v>770</v>
      </c>
      <c r="I7" s="14">
        <v>0</v>
      </c>
      <c r="J7" s="14" t="s">
        <v>383</v>
      </c>
      <c r="K7" s="14" t="s">
        <v>378</v>
      </c>
    </row>
    <row r="8" spans="1:11" ht="28.8" x14ac:dyDescent="0.3">
      <c r="A8" s="49">
        <v>46298</v>
      </c>
      <c r="B8" s="16" t="s">
        <v>341</v>
      </c>
      <c r="C8" s="16" t="s">
        <v>184</v>
      </c>
      <c r="D8" s="16" t="s">
        <v>379</v>
      </c>
      <c r="E8" s="16">
        <v>45</v>
      </c>
      <c r="F8" s="16">
        <v>29</v>
      </c>
      <c r="G8" s="16">
        <v>630</v>
      </c>
      <c r="I8" s="16">
        <v>0</v>
      </c>
      <c r="J8" s="16" t="s">
        <v>383</v>
      </c>
      <c r="K8" s="16" t="s">
        <v>373</v>
      </c>
    </row>
    <row r="9" spans="1:11" ht="28.8" x14ac:dyDescent="0.3">
      <c r="A9" s="50">
        <v>46298</v>
      </c>
      <c r="B9" s="14" t="s">
        <v>344</v>
      </c>
      <c r="C9" s="14" t="s">
        <v>374</v>
      </c>
      <c r="D9" s="14" t="s">
        <v>380</v>
      </c>
      <c r="E9" s="14">
        <v>33</v>
      </c>
      <c r="F9" s="14">
        <v>44</v>
      </c>
      <c r="G9" s="14">
        <v>1580</v>
      </c>
      <c r="I9" s="14">
        <v>132000</v>
      </c>
      <c r="J9" s="14" t="s">
        <v>383</v>
      </c>
      <c r="K9" s="14" t="s">
        <v>376</v>
      </c>
    </row>
    <row r="10" spans="1:11" ht="28.8" x14ac:dyDescent="0.3">
      <c r="A10" s="49">
        <v>46298</v>
      </c>
      <c r="B10" s="16" t="s">
        <v>347</v>
      </c>
      <c r="C10" s="16" t="s">
        <v>206</v>
      </c>
      <c r="D10" s="16" t="s">
        <v>377</v>
      </c>
      <c r="E10" s="16">
        <v>13</v>
      </c>
      <c r="F10" s="16">
        <v>18</v>
      </c>
      <c r="G10" s="16">
        <v>1010</v>
      </c>
      <c r="H10" s="16">
        <v>745</v>
      </c>
      <c r="I10" s="16">
        <v>0</v>
      </c>
      <c r="J10" s="16" t="s">
        <v>383</v>
      </c>
      <c r="K10" s="16" t="s">
        <v>378</v>
      </c>
    </row>
    <row r="11" spans="1:11" ht="28.8" x14ac:dyDescent="0.3">
      <c r="A11" s="50">
        <v>46299</v>
      </c>
      <c r="B11" s="14" t="s">
        <v>341</v>
      </c>
      <c r="C11" s="14" t="s">
        <v>184</v>
      </c>
      <c r="D11" s="14" t="s">
        <v>372</v>
      </c>
      <c r="E11" s="14">
        <v>53</v>
      </c>
      <c r="F11" s="14">
        <v>34</v>
      </c>
      <c r="G11" s="14">
        <v>700</v>
      </c>
      <c r="I11" s="14">
        <v>0</v>
      </c>
      <c r="J11" s="14" t="s">
        <v>383</v>
      </c>
      <c r="K11" s="14" t="s">
        <v>373</v>
      </c>
    </row>
    <row r="12" spans="1:11" ht="28.8" x14ac:dyDescent="0.3">
      <c r="A12" s="49">
        <v>46299</v>
      </c>
      <c r="B12" s="16" t="s">
        <v>344</v>
      </c>
      <c r="C12" s="16" t="s">
        <v>374</v>
      </c>
      <c r="D12" s="16" t="s">
        <v>375</v>
      </c>
      <c r="E12" s="16">
        <v>38</v>
      </c>
      <c r="F12" s="16">
        <v>50</v>
      </c>
      <c r="G12" s="16">
        <v>1750</v>
      </c>
      <c r="I12" s="16">
        <v>150000</v>
      </c>
      <c r="J12" s="16" t="s">
        <v>383</v>
      </c>
      <c r="K12" s="16" t="s">
        <v>376</v>
      </c>
    </row>
    <row r="13" spans="1:11" ht="28.8" x14ac:dyDescent="0.3">
      <c r="A13" s="50">
        <v>46299</v>
      </c>
      <c r="B13" s="14" t="s">
        <v>347</v>
      </c>
      <c r="C13" s="14" t="s">
        <v>206</v>
      </c>
      <c r="D13" s="14" t="s">
        <v>377</v>
      </c>
      <c r="E13" s="14">
        <v>16</v>
      </c>
      <c r="F13" s="14">
        <v>21</v>
      </c>
      <c r="G13" s="14">
        <v>1140</v>
      </c>
      <c r="H13" s="14">
        <v>830</v>
      </c>
      <c r="I13" s="14">
        <v>0</v>
      </c>
      <c r="J13" s="14" t="s">
        <v>383</v>
      </c>
      <c r="K13" s="14" t="s">
        <v>378</v>
      </c>
    </row>
    <row r="14" spans="1:11" ht="28.8" x14ac:dyDescent="0.3">
      <c r="A14" s="49">
        <v>46300</v>
      </c>
      <c r="B14" s="16" t="s">
        <v>341</v>
      </c>
      <c r="C14" s="16" t="s">
        <v>184</v>
      </c>
      <c r="D14" s="16" t="s">
        <v>379</v>
      </c>
      <c r="E14" s="16">
        <v>57</v>
      </c>
      <c r="F14" s="16">
        <v>37</v>
      </c>
      <c r="G14" s="16">
        <v>740</v>
      </c>
      <c r="I14" s="16">
        <v>0</v>
      </c>
      <c r="J14" s="16" t="s">
        <v>383</v>
      </c>
      <c r="K14" s="16" t="s">
        <v>373</v>
      </c>
    </row>
    <row r="15" spans="1:11" ht="28.8" x14ac:dyDescent="0.3">
      <c r="A15" s="50">
        <v>46300</v>
      </c>
      <c r="B15" s="14" t="s">
        <v>344</v>
      </c>
      <c r="C15" s="14" t="s">
        <v>374</v>
      </c>
      <c r="D15" s="14" t="s">
        <v>380</v>
      </c>
      <c r="E15" s="14">
        <v>42</v>
      </c>
      <c r="F15" s="14">
        <v>55</v>
      </c>
      <c r="G15" s="14">
        <v>1880</v>
      </c>
      <c r="I15" s="14">
        <v>165000</v>
      </c>
      <c r="J15" s="14" t="s">
        <v>383</v>
      </c>
      <c r="K15" s="14" t="s">
        <v>376</v>
      </c>
    </row>
    <row r="16" spans="1:11" ht="28.8" x14ac:dyDescent="0.3">
      <c r="A16" s="49">
        <v>46300</v>
      </c>
      <c r="B16" s="16" t="s">
        <v>347</v>
      </c>
      <c r="C16" s="16" t="s">
        <v>206</v>
      </c>
      <c r="D16" s="16" t="s">
        <v>377</v>
      </c>
      <c r="E16" s="16">
        <v>18</v>
      </c>
      <c r="F16" s="16">
        <v>24</v>
      </c>
      <c r="G16" s="16">
        <v>1240</v>
      </c>
      <c r="H16" s="16">
        <v>890</v>
      </c>
      <c r="I16" s="16">
        <v>0</v>
      </c>
      <c r="J16" s="16" t="s">
        <v>383</v>
      </c>
      <c r="K16" s="16" t="s">
        <v>378</v>
      </c>
    </row>
    <row r="17" spans="1:11" ht="28.8" x14ac:dyDescent="0.3">
      <c r="A17" s="50">
        <v>46301</v>
      </c>
      <c r="B17" s="14" t="s">
        <v>341</v>
      </c>
      <c r="C17" s="14" t="s">
        <v>184</v>
      </c>
      <c r="D17" s="14" t="s">
        <v>379</v>
      </c>
      <c r="E17" s="14">
        <v>51</v>
      </c>
      <c r="F17" s="14">
        <v>33</v>
      </c>
      <c r="G17" s="14">
        <v>715</v>
      </c>
      <c r="I17" s="14">
        <v>0</v>
      </c>
      <c r="J17" s="14" t="s">
        <v>383</v>
      </c>
      <c r="K17" s="14" t="s">
        <v>373</v>
      </c>
    </row>
    <row r="18" spans="1:11" ht="28.8" x14ac:dyDescent="0.3">
      <c r="A18" s="49">
        <v>46301</v>
      </c>
      <c r="B18" s="16" t="s">
        <v>344</v>
      </c>
      <c r="C18" s="16" t="s">
        <v>374</v>
      </c>
      <c r="D18" s="16" t="s">
        <v>380</v>
      </c>
      <c r="E18" s="16">
        <v>37</v>
      </c>
      <c r="F18" s="16">
        <v>49</v>
      </c>
      <c r="G18" s="16">
        <v>1810</v>
      </c>
      <c r="I18" s="16">
        <v>147000</v>
      </c>
      <c r="J18" s="16" t="s">
        <v>383</v>
      </c>
      <c r="K18" s="16" t="s">
        <v>376</v>
      </c>
    </row>
    <row r="19" spans="1:11" ht="28.8" x14ac:dyDescent="0.3">
      <c r="A19" s="50">
        <v>46301</v>
      </c>
      <c r="B19" s="14" t="s">
        <v>347</v>
      </c>
      <c r="C19" s="14" t="s">
        <v>206</v>
      </c>
      <c r="D19" s="14" t="s">
        <v>377</v>
      </c>
      <c r="E19" s="14">
        <v>15</v>
      </c>
      <c r="F19" s="14">
        <v>20</v>
      </c>
      <c r="G19" s="14">
        <v>1180</v>
      </c>
      <c r="H19" s="14">
        <v>850</v>
      </c>
      <c r="I19" s="14">
        <v>0</v>
      </c>
      <c r="J19" s="14" t="s">
        <v>383</v>
      </c>
      <c r="K19" s="14" t="s">
        <v>378</v>
      </c>
    </row>
    <row r="20" spans="1:11" ht="28.8" x14ac:dyDescent="0.3">
      <c r="A20" s="49">
        <v>46302</v>
      </c>
      <c r="B20" s="16" t="s">
        <v>341</v>
      </c>
      <c r="C20" s="16" t="s">
        <v>184</v>
      </c>
      <c r="D20" s="16" t="s">
        <v>372</v>
      </c>
      <c r="E20" s="16">
        <v>60</v>
      </c>
      <c r="F20" s="16">
        <v>39</v>
      </c>
      <c r="G20" s="16">
        <v>780</v>
      </c>
      <c r="I20" s="16">
        <v>0</v>
      </c>
      <c r="J20" s="16" t="s">
        <v>383</v>
      </c>
      <c r="K20" s="16" t="s">
        <v>373</v>
      </c>
    </row>
    <row r="21" spans="1:11" ht="28.8" x14ac:dyDescent="0.3">
      <c r="A21" s="50">
        <v>46302</v>
      </c>
      <c r="B21" s="14" t="s">
        <v>344</v>
      </c>
      <c r="C21" s="14" t="s">
        <v>374</v>
      </c>
      <c r="D21" s="14" t="s">
        <v>380</v>
      </c>
      <c r="E21" s="14">
        <v>44</v>
      </c>
      <c r="F21" s="14">
        <v>58</v>
      </c>
      <c r="G21" s="14">
        <v>1990</v>
      </c>
      <c r="I21" s="14">
        <v>174000</v>
      </c>
      <c r="J21" s="14" t="s">
        <v>383</v>
      </c>
      <c r="K21" s="14" t="s">
        <v>376</v>
      </c>
    </row>
    <row r="22" spans="1:11" ht="28.8" x14ac:dyDescent="0.3">
      <c r="A22" s="49">
        <v>46302</v>
      </c>
      <c r="B22" s="16" t="s">
        <v>347</v>
      </c>
      <c r="C22" s="16" t="s">
        <v>206</v>
      </c>
      <c r="D22" s="16" t="s">
        <v>377</v>
      </c>
      <c r="E22" s="16">
        <v>19</v>
      </c>
      <c r="F22" s="16">
        <v>25</v>
      </c>
      <c r="G22" s="16">
        <v>1300</v>
      </c>
      <c r="H22" s="16">
        <v>930</v>
      </c>
      <c r="I22" s="16">
        <v>0</v>
      </c>
      <c r="J22" s="16" t="s">
        <v>383</v>
      </c>
      <c r="K22" s="16" t="s">
        <v>378</v>
      </c>
    </row>
    <row r="23" spans="1:11" ht="28.8" x14ac:dyDescent="0.3">
      <c r="A23" s="50">
        <v>46303</v>
      </c>
      <c r="B23" s="14" t="s">
        <v>341</v>
      </c>
      <c r="C23" s="14" t="s">
        <v>184</v>
      </c>
      <c r="D23" s="14" t="s">
        <v>379</v>
      </c>
      <c r="E23" s="14">
        <v>62</v>
      </c>
      <c r="F23" s="14">
        <v>41</v>
      </c>
      <c r="G23" s="14">
        <v>810</v>
      </c>
      <c r="I23" s="14">
        <v>0</v>
      </c>
      <c r="J23" s="14" t="s">
        <v>383</v>
      </c>
      <c r="K23" s="14" t="s">
        <v>373</v>
      </c>
    </row>
    <row r="24" spans="1:11" ht="28.8" x14ac:dyDescent="0.3">
      <c r="A24" s="49">
        <v>46303</v>
      </c>
      <c r="B24" s="16" t="s">
        <v>344</v>
      </c>
      <c r="C24" s="16" t="s">
        <v>374</v>
      </c>
      <c r="D24" s="16" t="s">
        <v>380</v>
      </c>
      <c r="E24" s="16">
        <v>46</v>
      </c>
      <c r="F24" s="16">
        <v>60</v>
      </c>
      <c r="G24" s="16">
        <v>2050</v>
      </c>
      <c r="I24" s="16">
        <v>180000</v>
      </c>
      <c r="J24" s="16" t="s">
        <v>383</v>
      </c>
      <c r="K24" s="16" t="s">
        <v>376</v>
      </c>
    </row>
    <row r="25" spans="1:11" ht="28.8" x14ac:dyDescent="0.3">
      <c r="A25" s="50">
        <v>46303</v>
      </c>
      <c r="B25" s="14" t="s">
        <v>347</v>
      </c>
      <c r="C25" s="14" t="s">
        <v>206</v>
      </c>
      <c r="D25" s="14" t="s">
        <v>377</v>
      </c>
      <c r="E25" s="14">
        <v>20</v>
      </c>
      <c r="F25" s="14">
        <v>27</v>
      </c>
      <c r="G25" s="14">
        <v>1380</v>
      </c>
      <c r="H25" s="14">
        <v>990</v>
      </c>
      <c r="I25" s="14">
        <v>0</v>
      </c>
      <c r="J25" s="14" t="s">
        <v>383</v>
      </c>
      <c r="K25" s="14" t="s">
        <v>378</v>
      </c>
    </row>
    <row r="26" spans="1:11" ht="28.8" x14ac:dyDescent="0.3">
      <c r="A26" s="49">
        <v>46304</v>
      </c>
      <c r="B26" s="16" t="s">
        <v>341</v>
      </c>
      <c r="C26" s="16" t="s">
        <v>184</v>
      </c>
      <c r="D26" s="16" t="s">
        <v>379</v>
      </c>
      <c r="E26" s="16">
        <v>58</v>
      </c>
      <c r="F26" s="16">
        <v>38</v>
      </c>
      <c r="G26" s="16">
        <v>790</v>
      </c>
      <c r="I26" s="16">
        <v>0</v>
      </c>
      <c r="J26" s="16" t="s">
        <v>383</v>
      </c>
      <c r="K26" s="16" t="s">
        <v>373</v>
      </c>
    </row>
    <row r="27" spans="1:11" ht="28.8" x14ac:dyDescent="0.3">
      <c r="A27" s="50">
        <v>46304</v>
      </c>
      <c r="B27" s="14" t="s">
        <v>344</v>
      </c>
      <c r="C27" s="14" t="s">
        <v>374</v>
      </c>
      <c r="D27" s="14" t="s">
        <v>380</v>
      </c>
      <c r="E27" s="14">
        <v>43</v>
      </c>
      <c r="F27" s="14">
        <v>57</v>
      </c>
      <c r="G27" s="14">
        <v>2010</v>
      </c>
      <c r="I27" s="14">
        <v>171000</v>
      </c>
      <c r="J27" s="14" t="s">
        <v>383</v>
      </c>
      <c r="K27" s="14" t="s">
        <v>376</v>
      </c>
    </row>
    <row r="28" spans="1:11" ht="28.8" x14ac:dyDescent="0.3">
      <c r="A28" s="49">
        <v>46304</v>
      </c>
      <c r="B28" s="16" t="s">
        <v>347</v>
      </c>
      <c r="C28" s="16" t="s">
        <v>206</v>
      </c>
      <c r="D28" s="16" t="s">
        <v>377</v>
      </c>
      <c r="E28" s="16">
        <v>18</v>
      </c>
      <c r="F28" s="16">
        <v>24</v>
      </c>
      <c r="G28" s="16">
        <v>1330</v>
      </c>
      <c r="H28" s="16">
        <v>950</v>
      </c>
      <c r="I28" s="16">
        <v>0</v>
      </c>
      <c r="J28" s="16" t="s">
        <v>383</v>
      </c>
      <c r="K28" s="16" t="s">
        <v>378</v>
      </c>
    </row>
    <row r="29" spans="1:11" ht="28.8" x14ac:dyDescent="0.3">
      <c r="A29" s="50">
        <v>46305</v>
      </c>
      <c r="B29" s="14" t="s">
        <v>341</v>
      </c>
      <c r="C29" s="14" t="s">
        <v>184</v>
      </c>
      <c r="D29" s="14" t="s">
        <v>379</v>
      </c>
      <c r="E29" s="14">
        <v>65</v>
      </c>
      <c r="F29" s="14">
        <v>43</v>
      </c>
      <c r="G29" s="14">
        <v>860</v>
      </c>
      <c r="I29" s="14">
        <v>0</v>
      </c>
      <c r="J29" s="14" t="s">
        <v>383</v>
      </c>
      <c r="K29" s="14" t="s">
        <v>373</v>
      </c>
    </row>
    <row r="30" spans="1:11" ht="28.8" x14ac:dyDescent="0.3">
      <c r="A30" s="49">
        <v>46305</v>
      </c>
      <c r="B30" s="16" t="s">
        <v>344</v>
      </c>
      <c r="C30" s="16" t="s">
        <v>374</v>
      </c>
      <c r="D30" s="16" t="s">
        <v>380</v>
      </c>
      <c r="E30" s="16">
        <v>48</v>
      </c>
      <c r="F30" s="16">
        <v>63</v>
      </c>
      <c r="G30" s="16">
        <v>2180</v>
      </c>
      <c r="I30" s="16">
        <v>189000</v>
      </c>
      <c r="J30" s="16" t="s">
        <v>383</v>
      </c>
      <c r="K30" s="16" t="s">
        <v>376</v>
      </c>
    </row>
    <row r="31" spans="1:11" ht="28.8" x14ac:dyDescent="0.3">
      <c r="A31" s="50">
        <v>46305</v>
      </c>
      <c r="B31" s="14" t="s">
        <v>347</v>
      </c>
      <c r="C31" s="14" t="s">
        <v>206</v>
      </c>
      <c r="D31" s="14" t="s">
        <v>377</v>
      </c>
      <c r="E31" s="14">
        <v>22</v>
      </c>
      <c r="F31" s="14">
        <v>29</v>
      </c>
      <c r="G31" s="14">
        <v>1480</v>
      </c>
      <c r="H31" s="14">
        <v>1050</v>
      </c>
      <c r="I31" s="14">
        <v>0</v>
      </c>
      <c r="J31" s="14" t="s">
        <v>383</v>
      </c>
      <c r="K31" s="14" t="s">
        <v>378</v>
      </c>
    </row>
    <row r="32" spans="1:11" ht="28.8" x14ac:dyDescent="0.3">
      <c r="A32" s="49">
        <v>46306</v>
      </c>
      <c r="B32" s="16" t="s">
        <v>341</v>
      </c>
      <c r="C32" s="16" t="s">
        <v>184</v>
      </c>
      <c r="D32" s="16" t="s">
        <v>379</v>
      </c>
      <c r="E32" s="16">
        <v>68</v>
      </c>
      <c r="F32" s="16">
        <v>45</v>
      </c>
      <c r="G32" s="16">
        <v>900</v>
      </c>
      <c r="I32" s="16">
        <v>0</v>
      </c>
      <c r="J32" s="16" t="s">
        <v>383</v>
      </c>
      <c r="K32" s="16" t="s">
        <v>373</v>
      </c>
    </row>
    <row r="33" spans="1:11" ht="28.8" x14ac:dyDescent="0.3">
      <c r="A33" s="50">
        <v>46306</v>
      </c>
      <c r="B33" s="14" t="s">
        <v>344</v>
      </c>
      <c r="C33" s="14" t="s">
        <v>374</v>
      </c>
      <c r="D33" s="14" t="s">
        <v>380</v>
      </c>
      <c r="E33" s="14">
        <v>50</v>
      </c>
      <c r="F33" s="14">
        <v>66</v>
      </c>
      <c r="G33" s="14">
        <v>2270</v>
      </c>
      <c r="I33" s="14">
        <v>198000</v>
      </c>
      <c r="J33" s="14" t="s">
        <v>383</v>
      </c>
      <c r="K33" s="14" t="s">
        <v>376</v>
      </c>
    </row>
    <row r="34" spans="1:11" ht="28.8" x14ac:dyDescent="0.3">
      <c r="A34" s="49">
        <v>46306</v>
      </c>
      <c r="B34" s="16" t="s">
        <v>347</v>
      </c>
      <c r="C34" s="16" t="s">
        <v>206</v>
      </c>
      <c r="D34" s="16" t="s">
        <v>377</v>
      </c>
      <c r="E34" s="16">
        <v>23</v>
      </c>
      <c r="F34" s="16">
        <v>31</v>
      </c>
      <c r="G34" s="16">
        <v>1550</v>
      </c>
      <c r="H34" s="16">
        <v>1110</v>
      </c>
      <c r="I34" s="16">
        <v>0</v>
      </c>
      <c r="J34" s="16" t="s">
        <v>383</v>
      </c>
      <c r="K34" s="16" t="s">
        <v>378</v>
      </c>
    </row>
    <row r="35" spans="1:11" ht="28.8" x14ac:dyDescent="0.3">
      <c r="A35" s="50">
        <v>46307</v>
      </c>
      <c r="B35" s="14" t="s">
        <v>341</v>
      </c>
      <c r="C35" s="14" t="s">
        <v>184</v>
      </c>
      <c r="D35" s="14" t="s">
        <v>379</v>
      </c>
      <c r="E35" s="14">
        <v>64</v>
      </c>
      <c r="F35" s="14">
        <v>42</v>
      </c>
      <c r="G35" s="14">
        <v>875</v>
      </c>
      <c r="I35" s="14">
        <v>0</v>
      </c>
      <c r="J35" s="14" t="s">
        <v>383</v>
      </c>
      <c r="K35" s="14" t="s">
        <v>373</v>
      </c>
    </row>
    <row r="36" spans="1:11" ht="28.8" x14ac:dyDescent="0.3">
      <c r="A36" s="49">
        <v>46307</v>
      </c>
      <c r="B36" s="16" t="s">
        <v>344</v>
      </c>
      <c r="C36" s="16" t="s">
        <v>374</v>
      </c>
      <c r="D36" s="16" t="s">
        <v>380</v>
      </c>
      <c r="E36" s="16">
        <v>47</v>
      </c>
      <c r="F36" s="16">
        <v>62</v>
      </c>
      <c r="G36" s="16">
        <v>2200</v>
      </c>
      <c r="I36" s="16">
        <v>186000</v>
      </c>
      <c r="J36" s="16" t="s">
        <v>383</v>
      </c>
      <c r="K36" s="16" t="s">
        <v>376</v>
      </c>
    </row>
    <row r="37" spans="1:11" ht="28.8" x14ac:dyDescent="0.3">
      <c r="A37" s="50">
        <v>46307</v>
      </c>
      <c r="B37" s="14" t="s">
        <v>347</v>
      </c>
      <c r="C37" s="14" t="s">
        <v>206</v>
      </c>
      <c r="D37" s="14" t="s">
        <v>377</v>
      </c>
      <c r="E37" s="14">
        <v>21</v>
      </c>
      <c r="F37" s="14">
        <v>28</v>
      </c>
      <c r="G37" s="14">
        <v>1500</v>
      </c>
      <c r="H37" s="14">
        <v>1080</v>
      </c>
      <c r="I37" s="14">
        <v>0</v>
      </c>
      <c r="J37" s="14" t="s">
        <v>383</v>
      </c>
      <c r="K37" s="14" t="s">
        <v>378</v>
      </c>
    </row>
    <row r="38" spans="1:11" ht="28.8" x14ac:dyDescent="0.3">
      <c r="A38" s="49">
        <v>46308</v>
      </c>
      <c r="B38" s="16" t="s">
        <v>341</v>
      </c>
      <c r="C38" s="16" t="s">
        <v>184</v>
      </c>
      <c r="D38" s="16" t="s">
        <v>379</v>
      </c>
      <c r="E38" s="16">
        <v>71</v>
      </c>
      <c r="F38" s="16">
        <v>47</v>
      </c>
      <c r="G38" s="16">
        <v>940</v>
      </c>
      <c r="I38" s="16">
        <v>0</v>
      </c>
      <c r="J38" s="16" t="s">
        <v>383</v>
      </c>
      <c r="K38" s="16" t="s">
        <v>373</v>
      </c>
    </row>
    <row r="39" spans="1:11" ht="28.8" x14ac:dyDescent="0.3">
      <c r="A39" s="50">
        <v>46308</v>
      </c>
      <c r="B39" s="14" t="s">
        <v>344</v>
      </c>
      <c r="C39" s="14" t="s">
        <v>374</v>
      </c>
      <c r="D39" s="14" t="s">
        <v>375</v>
      </c>
      <c r="E39" s="14">
        <v>53</v>
      </c>
      <c r="F39" s="14">
        <v>69</v>
      </c>
      <c r="G39" s="14">
        <v>2390</v>
      </c>
      <c r="I39" s="14">
        <v>207000</v>
      </c>
      <c r="J39" s="14" t="s">
        <v>383</v>
      </c>
      <c r="K39" s="14" t="s">
        <v>376</v>
      </c>
    </row>
    <row r="40" spans="1:11" ht="28.8" x14ac:dyDescent="0.3">
      <c r="A40" s="49">
        <v>46308</v>
      </c>
      <c r="B40" s="16" t="s">
        <v>347</v>
      </c>
      <c r="C40" s="16" t="s">
        <v>206</v>
      </c>
      <c r="D40" s="16" t="s">
        <v>377</v>
      </c>
      <c r="E40" s="16">
        <v>24</v>
      </c>
      <c r="F40" s="16">
        <v>32</v>
      </c>
      <c r="G40" s="16">
        <v>1640</v>
      </c>
      <c r="H40" s="16">
        <v>1170</v>
      </c>
      <c r="I40" s="16">
        <v>0</v>
      </c>
      <c r="J40" s="16" t="s">
        <v>383</v>
      </c>
      <c r="K40" s="16" t="s">
        <v>378</v>
      </c>
    </row>
    <row r="41" spans="1:11" ht="28.8" x14ac:dyDescent="0.3">
      <c r="A41" s="50">
        <v>46309</v>
      </c>
      <c r="B41" s="14" t="s">
        <v>341</v>
      </c>
      <c r="C41" s="14" t="s">
        <v>184</v>
      </c>
      <c r="D41" s="14" t="s">
        <v>379</v>
      </c>
      <c r="E41" s="14">
        <v>75</v>
      </c>
      <c r="F41" s="14">
        <v>50</v>
      </c>
      <c r="G41" s="14">
        <v>990</v>
      </c>
      <c r="I41" s="14">
        <v>0</v>
      </c>
      <c r="J41" s="14" t="s">
        <v>383</v>
      </c>
      <c r="K41" s="14" t="s">
        <v>373</v>
      </c>
    </row>
    <row r="42" spans="1:11" ht="28.8" x14ac:dyDescent="0.3">
      <c r="A42" s="49">
        <v>46309</v>
      </c>
      <c r="B42" s="16" t="s">
        <v>344</v>
      </c>
      <c r="C42" s="16" t="s">
        <v>374</v>
      </c>
      <c r="D42" s="16" t="s">
        <v>380</v>
      </c>
      <c r="E42" s="16">
        <v>56</v>
      </c>
      <c r="F42" s="16">
        <v>73</v>
      </c>
      <c r="G42" s="16">
        <v>2510</v>
      </c>
      <c r="I42" s="16">
        <v>219000</v>
      </c>
      <c r="J42" s="16" t="s">
        <v>383</v>
      </c>
      <c r="K42" s="16" t="s">
        <v>376</v>
      </c>
    </row>
    <row r="43" spans="1:11" ht="28.8" x14ac:dyDescent="0.3">
      <c r="A43" s="50">
        <v>46309</v>
      </c>
      <c r="B43" s="14" t="s">
        <v>347</v>
      </c>
      <c r="C43" s="14" t="s">
        <v>206</v>
      </c>
      <c r="D43" s="14" t="s">
        <v>381</v>
      </c>
      <c r="E43" s="14">
        <v>27</v>
      </c>
      <c r="F43" s="14">
        <v>36</v>
      </c>
      <c r="G43" s="14">
        <v>1780</v>
      </c>
      <c r="H43" s="14">
        <v>1280</v>
      </c>
      <c r="I43" s="14">
        <v>0</v>
      </c>
      <c r="J43" s="14" t="s">
        <v>383</v>
      </c>
      <c r="K43" s="14" t="s">
        <v>378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34" customWidth="1"/>
    <col min="5" max="5" width="17" customWidth="1"/>
    <col min="6" max="6" width="28" customWidth="1"/>
    <col min="7" max="7" width="34" customWidth="1"/>
  </cols>
  <sheetData>
    <row r="1" spans="1:7" ht="31.95" customHeight="1" x14ac:dyDescent="0.3">
      <c r="A1" s="41" t="s">
        <v>0</v>
      </c>
      <c r="B1" s="41" t="s">
        <v>2</v>
      </c>
      <c r="C1" s="41" t="s">
        <v>1</v>
      </c>
      <c r="D1" s="41" t="s">
        <v>384</v>
      </c>
      <c r="E1" s="41" t="s">
        <v>385</v>
      </c>
      <c r="F1" s="41" t="s">
        <v>386</v>
      </c>
      <c r="G1" s="41" t="s">
        <v>228</v>
      </c>
    </row>
    <row r="2" spans="1:7" x14ac:dyDescent="0.3">
      <c r="A2" s="16">
        <v>1</v>
      </c>
      <c r="B2" s="16" t="s">
        <v>387</v>
      </c>
      <c r="C2" s="16" t="s">
        <v>204</v>
      </c>
      <c r="D2" s="16" t="s">
        <v>388</v>
      </c>
      <c r="E2" s="16" t="s">
        <v>389</v>
      </c>
      <c r="F2" s="16" t="s">
        <v>390</v>
      </c>
      <c r="G2" s="16" t="s">
        <v>391</v>
      </c>
    </row>
    <row r="3" spans="1:7" x14ac:dyDescent="0.3">
      <c r="A3" s="14">
        <v>2</v>
      </c>
      <c r="B3" s="14" t="s">
        <v>392</v>
      </c>
      <c r="C3" s="14" t="s">
        <v>209</v>
      </c>
      <c r="D3" s="14" t="s">
        <v>393</v>
      </c>
      <c r="E3" s="14" t="s">
        <v>394</v>
      </c>
      <c r="F3" s="14" t="s">
        <v>395</v>
      </c>
      <c r="G3" s="14" t="s">
        <v>396</v>
      </c>
    </row>
    <row r="4" spans="1:7" ht="28.8" x14ac:dyDescent="0.3">
      <c r="A4" s="16">
        <v>3</v>
      </c>
      <c r="B4" s="16" t="s">
        <v>397</v>
      </c>
      <c r="C4" s="16" t="s">
        <v>204</v>
      </c>
      <c r="D4" s="16" t="s">
        <v>398</v>
      </c>
      <c r="E4" s="16" t="s">
        <v>389</v>
      </c>
      <c r="F4" s="16" t="s">
        <v>399</v>
      </c>
      <c r="G4" s="16" t="s">
        <v>391</v>
      </c>
    </row>
    <row r="5" spans="1:7" x14ac:dyDescent="0.3">
      <c r="A5" s="14">
        <v>4</v>
      </c>
      <c r="B5" s="14" t="s">
        <v>400</v>
      </c>
      <c r="C5" s="14" t="s">
        <v>209</v>
      </c>
      <c r="D5" s="14" t="s">
        <v>401</v>
      </c>
      <c r="E5" s="14" t="s">
        <v>402</v>
      </c>
      <c r="F5" s="14" t="s">
        <v>395</v>
      </c>
      <c r="G5" s="14" t="s">
        <v>403</v>
      </c>
    </row>
    <row r="6" spans="1:7" ht="28.8" x14ac:dyDescent="0.3">
      <c r="A6" s="16">
        <v>5</v>
      </c>
      <c r="B6" s="16" t="s">
        <v>404</v>
      </c>
      <c r="C6" s="16" t="s">
        <v>204</v>
      </c>
      <c r="D6" s="16" t="s">
        <v>405</v>
      </c>
      <c r="E6" s="16" t="s">
        <v>406</v>
      </c>
      <c r="F6" s="16" t="s">
        <v>407</v>
      </c>
      <c r="G6" s="16" t="s">
        <v>408</v>
      </c>
    </row>
    <row r="7" spans="1:7" x14ac:dyDescent="0.3">
      <c r="A7" s="14">
        <v>6</v>
      </c>
      <c r="B7" s="14" t="s">
        <v>409</v>
      </c>
      <c r="C7" s="14" t="s">
        <v>209</v>
      </c>
      <c r="D7" s="14" t="s">
        <v>410</v>
      </c>
      <c r="E7" s="14" t="s">
        <v>411</v>
      </c>
      <c r="F7" s="14" t="s">
        <v>412</v>
      </c>
      <c r="G7" s="14" t="s">
        <v>413</v>
      </c>
    </row>
    <row r="8" spans="1:7" ht="28.8" x14ac:dyDescent="0.3">
      <c r="A8" s="16">
        <v>8</v>
      </c>
      <c r="B8" s="16" t="s">
        <v>414</v>
      </c>
      <c r="C8" s="16" t="s">
        <v>204</v>
      </c>
      <c r="D8" s="16" t="s">
        <v>415</v>
      </c>
      <c r="E8" s="16" t="s">
        <v>406</v>
      </c>
      <c r="F8" s="16" t="s">
        <v>416</v>
      </c>
      <c r="G8" s="16" t="s">
        <v>417</v>
      </c>
    </row>
    <row r="9" spans="1:7" x14ac:dyDescent="0.3">
      <c r="A9" s="14">
        <v>9</v>
      </c>
      <c r="B9" s="14" t="s">
        <v>418</v>
      </c>
      <c r="C9" s="14" t="s">
        <v>209</v>
      </c>
      <c r="D9" s="14" t="s">
        <v>419</v>
      </c>
      <c r="E9" s="14" t="s">
        <v>420</v>
      </c>
      <c r="F9" s="14" t="s">
        <v>395</v>
      </c>
      <c r="G9" s="14" t="s">
        <v>421</v>
      </c>
    </row>
    <row r="10" spans="1:7" x14ac:dyDescent="0.3">
      <c r="A10" s="16">
        <v>10</v>
      </c>
      <c r="B10" s="16" t="s">
        <v>422</v>
      </c>
      <c r="C10" s="16" t="s">
        <v>204</v>
      </c>
      <c r="D10" s="16" t="s">
        <v>423</v>
      </c>
      <c r="E10" s="16" t="s">
        <v>406</v>
      </c>
      <c r="F10" s="16" t="s">
        <v>424</v>
      </c>
      <c r="G10" s="16" t="s">
        <v>391</v>
      </c>
    </row>
    <row r="11" spans="1:7" ht="28.8" x14ac:dyDescent="0.3">
      <c r="A11" s="14">
        <v>11</v>
      </c>
      <c r="B11" s="14" t="s">
        <v>425</v>
      </c>
      <c r="C11" s="14" t="s">
        <v>209</v>
      </c>
      <c r="D11" s="14" t="s">
        <v>426</v>
      </c>
      <c r="E11" s="14" t="s">
        <v>427</v>
      </c>
      <c r="F11" s="14" t="s">
        <v>395</v>
      </c>
      <c r="G11" s="14" t="s">
        <v>421</v>
      </c>
    </row>
    <row r="12" spans="1:7" ht="28.8" x14ac:dyDescent="0.3">
      <c r="A12" s="16">
        <v>12</v>
      </c>
      <c r="B12" s="16" t="s">
        <v>428</v>
      </c>
      <c r="C12" s="16" t="s">
        <v>204</v>
      </c>
      <c r="D12" s="16" t="s">
        <v>429</v>
      </c>
      <c r="E12" s="16" t="s">
        <v>430</v>
      </c>
      <c r="F12" s="16" t="s">
        <v>431</v>
      </c>
      <c r="G12" s="16" t="s">
        <v>432</v>
      </c>
    </row>
    <row r="13" spans="1:7" x14ac:dyDescent="0.3">
      <c r="A13" s="14">
        <v>13</v>
      </c>
      <c r="B13" s="14" t="s">
        <v>433</v>
      </c>
      <c r="C13" s="14" t="s">
        <v>209</v>
      </c>
      <c r="D13" s="14" t="s">
        <v>434</v>
      </c>
      <c r="E13" s="14" t="s">
        <v>435</v>
      </c>
      <c r="F13" s="14" t="s">
        <v>412</v>
      </c>
      <c r="G13" s="14" t="s">
        <v>421</v>
      </c>
    </row>
    <row r="14" spans="1:7" x14ac:dyDescent="0.3">
      <c r="A14" s="16">
        <v>14</v>
      </c>
      <c r="B14" s="16" t="s">
        <v>436</v>
      </c>
      <c r="C14" s="16" t="s">
        <v>204</v>
      </c>
      <c r="D14" s="16" t="s">
        <v>437</v>
      </c>
      <c r="E14" s="16" t="s">
        <v>438</v>
      </c>
      <c r="F14" s="16" t="s">
        <v>439</v>
      </c>
      <c r="G14" s="16" t="s">
        <v>440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32" customWidth="1"/>
    <col min="3" max="7" width="34" customWidth="1"/>
  </cols>
  <sheetData>
    <row r="1" spans="1:7" ht="31.95" customHeight="1" x14ac:dyDescent="0.3">
      <c r="A1" s="41" t="s">
        <v>441</v>
      </c>
      <c r="B1" s="41" t="s">
        <v>442</v>
      </c>
      <c r="C1" s="41" t="s">
        <v>443</v>
      </c>
      <c r="D1" s="41" t="s">
        <v>444</v>
      </c>
      <c r="E1" s="41" t="s">
        <v>445</v>
      </c>
      <c r="F1" s="41" t="s">
        <v>446</v>
      </c>
      <c r="G1" s="41" t="s">
        <v>228</v>
      </c>
    </row>
    <row r="2" spans="1:7" ht="43.2" x14ac:dyDescent="0.3">
      <c r="A2" s="16" t="s">
        <v>447</v>
      </c>
      <c r="B2" s="16" t="s">
        <v>148</v>
      </c>
      <c r="C2" s="16" t="s">
        <v>448</v>
      </c>
      <c r="D2" s="16" t="s">
        <v>449</v>
      </c>
      <c r="E2" s="16" t="s">
        <v>450</v>
      </c>
      <c r="F2" s="16" t="s">
        <v>451</v>
      </c>
      <c r="G2" s="16" t="s">
        <v>452</v>
      </c>
    </row>
    <row r="3" spans="1:7" ht="28.8" x14ac:dyDescent="0.3">
      <c r="A3" s="14" t="s">
        <v>453</v>
      </c>
      <c r="B3" s="14" t="s">
        <v>454</v>
      </c>
      <c r="C3" s="14" t="s">
        <v>455</v>
      </c>
      <c r="D3" s="14" t="s">
        <v>456</v>
      </c>
      <c r="E3" s="14" t="s">
        <v>457</v>
      </c>
      <c r="F3" s="14" t="s">
        <v>458</v>
      </c>
      <c r="G3" s="14" t="s">
        <v>459</v>
      </c>
    </row>
    <row r="4" spans="1:7" ht="28.8" x14ac:dyDescent="0.3">
      <c r="A4" s="16" t="s">
        <v>460</v>
      </c>
      <c r="B4" s="16" t="s">
        <v>461</v>
      </c>
      <c r="C4" s="16" t="s">
        <v>462</v>
      </c>
      <c r="D4" s="16" t="s">
        <v>463</v>
      </c>
      <c r="E4" s="16" t="s">
        <v>464</v>
      </c>
      <c r="F4" s="16" t="s">
        <v>465</v>
      </c>
      <c r="G4" s="16" t="s">
        <v>466</v>
      </c>
    </row>
    <row r="5" spans="1:7" ht="28.8" x14ac:dyDescent="0.3">
      <c r="A5" s="14" t="s">
        <v>467</v>
      </c>
      <c r="B5" s="14" t="s">
        <v>468</v>
      </c>
      <c r="C5" s="14" t="s">
        <v>469</v>
      </c>
      <c r="D5" s="14" t="s">
        <v>470</v>
      </c>
      <c r="E5" s="14" t="s">
        <v>471</v>
      </c>
      <c r="F5" s="14" t="s">
        <v>472</v>
      </c>
      <c r="G5" s="14" t="s">
        <v>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5"/>
  <sheetViews>
    <sheetView showGridLines="0" topLeftCell="M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9" width="34" customWidth="1"/>
  </cols>
  <sheetData>
    <row r="1" spans="1:9" ht="31.95" customHeight="1" x14ac:dyDescent="0.3">
      <c r="A1" s="41" t="s">
        <v>0</v>
      </c>
      <c r="B1" s="41" t="s">
        <v>38</v>
      </c>
      <c r="C1" s="41" t="s">
        <v>41</v>
      </c>
      <c r="D1" s="41" t="s">
        <v>474</v>
      </c>
      <c r="E1" s="41" t="s">
        <v>49</v>
      </c>
      <c r="F1" s="41" t="s">
        <v>475</v>
      </c>
      <c r="G1" s="41" t="s">
        <v>51</v>
      </c>
      <c r="H1" s="41" t="s">
        <v>476</v>
      </c>
      <c r="I1" s="41" t="s">
        <v>477</v>
      </c>
    </row>
    <row r="2" spans="1:9" x14ac:dyDescent="0.3">
      <c r="A2" s="49">
        <v>46296</v>
      </c>
      <c r="B2" s="16">
        <f>SUMIFS(Traffic_Mo_phong!$E$2:$E$1000,Traffic_Mo_phong!$A$2:$A$1000,$A2,Traffic_Mo_phong!$B$2:$B$1000,"Organic")</f>
        <v>42</v>
      </c>
      <c r="C2" s="16">
        <f>SUMIFS(Traffic_Mo_phong!$E$2:$E$1000,Traffic_Mo_phong!$A$2:$A$1000,$A2,Traffic_Mo_phong!$B$2:$B$1000,"Paid")</f>
        <v>31</v>
      </c>
      <c r="D2" s="16">
        <f>SUMIFS(Traffic_Mo_phong!$E$2:$E$1000,Traffic_Mo_phong!$A$2:$A$1000,$A2,Traffic_Mo_phong!$B$2:$B$1000,"Social Organic")</f>
        <v>12</v>
      </c>
      <c r="E2" s="16">
        <f>SUMIFS(Traffic_Mo_phong!$I$2:$I$1000,Traffic_Mo_phong!$A$2:$A$1000,$A2,Traffic_Mo_phong!$B$2:$B$1000,"Paid")</f>
        <v>126000</v>
      </c>
      <c r="F2" s="16">
        <f>SUMIFS(Traffic_Mo_phong!$G$2:$G$1000,Traffic_Mo_phong!$A$2:$A$1000,$A2,Traffic_Mo_phong!$B$2:$B$1000,"Organic")</f>
        <v>610</v>
      </c>
      <c r="G2" s="16">
        <f>SUMIFS(Traffic_Mo_phong!$G$2:$G$1000,Traffic_Mo_phong!$A$2:$A$1000,$A2,Traffic_Mo_phong!$B$2:$B$1000,"Paid")</f>
        <v>1500</v>
      </c>
      <c r="H2" s="16">
        <f>SUMIFS(Traffic_Mo_phong!$H$2:$H$1000,Traffic_Mo_phong!$A$2:$A$1000,$A2,Traffic_Mo_phong!$B$2:$B$1000,"Social Organic")</f>
        <v>720</v>
      </c>
      <c r="I2" s="16">
        <f>SUMIFS(Traffic_Mo_phong!$G$2:$G$1000,Traffic_Mo_phong!$A$2:$A$1000,$A2,Traffic_Mo_phong!$B$2:$B$1000,"Social Organic")</f>
        <v>980</v>
      </c>
    </row>
    <row r="3" spans="1:9" x14ac:dyDescent="0.3">
      <c r="A3" s="50">
        <v>46297</v>
      </c>
      <c r="B3" s="14">
        <f>SUMIFS(Traffic_Mo_phong!$E$2:$E$1000,Traffic_Mo_phong!$A$2:$A$1000,$A3,Traffic_Mo_phong!$B$2:$B$1000,"Organic")</f>
        <v>48</v>
      </c>
      <c r="C3" s="14">
        <f>SUMIFS(Traffic_Mo_phong!$E$2:$E$1000,Traffic_Mo_phong!$A$2:$A$1000,$A3,Traffic_Mo_phong!$B$2:$B$1000,"Paid")</f>
        <v>35</v>
      </c>
      <c r="D3" s="14">
        <f>SUMIFS(Traffic_Mo_phong!$E$2:$E$1000,Traffic_Mo_phong!$A$2:$A$1000,$A3,Traffic_Mo_phong!$B$2:$B$1000,"Social Organic")</f>
        <v>14</v>
      </c>
      <c r="E3" s="14">
        <f>SUMIFS(Traffic_Mo_phong!$I$2:$I$1000,Traffic_Mo_phong!$A$2:$A$1000,$A3,Traffic_Mo_phong!$B$2:$B$1000,"Paid")</f>
        <v>138000</v>
      </c>
      <c r="F3" s="14">
        <f>SUMIFS(Traffic_Mo_phong!$G$2:$G$1000,Traffic_Mo_phong!$A$2:$A$1000,$A3,Traffic_Mo_phong!$B$2:$B$1000,"Organic")</f>
        <v>650</v>
      </c>
      <c r="G3" s="14">
        <f>SUMIFS(Traffic_Mo_phong!$G$2:$G$1000,Traffic_Mo_phong!$A$2:$A$1000,$A3,Traffic_Mo_phong!$B$2:$B$1000,"Paid")</f>
        <v>1620</v>
      </c>
      <c r="H3" s="14">
        <f>SUMIFS(Traffic_Mo_phong!$H$2:$H$1000,Traffic_Mo_phong!$A$2:$A$1000,$A3,Traffic_Mo_phong!$B$2:$B$1000,"Social Organic")</f>
        <v>770</v>
      </c>
      <c r="I3" s="14">
        <f>SUMIFS(Traffic_Mo_phong!$G$2:$G$1000,Traffic_Mo_phong!$A$2:$A$1000,$A3,Traffic_Mo_phong!$B$2:$B$1000,"Social Organic")</f>
        <v>1050</v>
      </c>
    </row>
    <row r="4" spans="1:9" x14ac:dyDescent="0.3">
      <c r="A4" s="49">
        <v>46298</v>
      </c>
      <c r="B4" s="16">
        <f>SUMIFS(Traffic_Mo_phong!$E$2:$E$1000,Traffic_Mo_phong!$A$2:$A$1000,$A4,Traffic_Mo_phong!$B$2:$B$1000,"Organic")</f>
        <v>45</v>
      </c>
      <c r="C4" s="16">
        <f>SUMIFS(Traffic_Mo_phong!$E$2:$E$1000,Traffic_Mo_phong!$A$2:$A$1000,$A4,Traffic_Mo_phong!$B$2:$B$1000,"Paid")</f>
        <v>33</v>
      </c>
      <c r="D4" s="16">
        <f>SUMIFS(Traffic_Mo_phong!$E$2:$E$1000,Traffic_Mo_phong!$A$2:$A$1000,$A4,Traffic_Mo_phong!$B$2:$B$1000,"Social Organic")</f>
        <v>13</v>
      </c>
      <c r="E4" s="16">
        <f>SUMIFS(Traffic_Mo_phong!$I$2:$I$1000,Traffic_Mo_phong!$A$2:$A$1000,$A4,Traffic_Mo_phong!$B$2:$B$1000,"Paid")</f>
        <v>132000</v>
      </c>
      <c r="F4" s="16">
        <f>SUMIFS(Traffic_Mo_phong!$G$2:$G$1000,Traffic_Mo_phong!$A$2:$A$1000,$A4,Traffic_Mo_phong!$B$2:$B$1000,"Organic")</f>
        <v>630</v>
      </c>
      <c r="G4" s="16">
        <f>SUMIFS(Traffic_Mo_phong!$G$2:$G$1000,Traffic_Mo_phong!$A$2:$A$1000,$A4,Traffic_Mo_phong!$B$2:$B$1000,"Paid")</f>
        <v>1580</v>
      </c>
      <c r="H4" s="16">
        <f>SUMIFS(Traffic_Mo_phong!$H$2:$H$1000,Traffic_Mo_phong!$A$2:$A$1000,$A4,Traffic_Mo_phong!$B$2:$B$1000,"Social Organic")</f>
        <v>745</v>
      </c>
      <c r="I4" s="16">
        <f>SUMIFS(Traffic_Mo_phong!$G$2:$G$1000,Traffic_Mo_phong!$A$2:$A$1000,$A4,Traffic_Mo_phong!$B$2:$B$1000,"Social Organic")</f>
        <v>1010</v>
      </c>
    </row>
    <row r="5" spans="1:9" x14ac:dyDescent="0.3">
      <c r="A5" s="50">
        <v>46299</v>
      </c>
      <c r="B5" s="14">
        <f>SUMIFS(Traffic_Mo_phong!$E$2:$E$1000,Traffic_Mo_phong!$A$2:$A$1000,$A5,Traffic_Mo_phong!$B$2:$B$1000,"Organic")</f>
        <v>53</v>
      </c>
      <c r="C5" s="14">
        <f>SUMIFS(Traffic_Mo_phong!$E$2:$E$1000,Traffic_Mo_phong!$A$2:$A$1000,$A5,Traffic_Mo_phong!$B$2:$B$1000,"Paid")</f>
        <v>38</v>
      </c>
      <c r="D5" s="14">
        <f>SUMIFS(Traffic_Mo_phong!$E$2:$E$1000,Traffic_Mo_phong!$A$2:$A$1000,$A5,Traffic_Mo_phong!$B$2:$B$1000,"Social Organic")</f>
        <v>16</v>
      </c>
      <c r="E5" s="14">
        <f>SUMIFS(Traffic_Mo_phong!$I$2:$I$1000,Traffic_Mo_phong!$A$2:$A$1000,$A5,Traffic_Mo_phong!$B$2:$B$1000,"Paid")</f>
        <v>150000</v>
      </c>
      <c r="F5" s="14">
        <f>SUMIFS(Traffic_Mo_phong!$G$2:$G$1000,Traffic_Mo_phong!$A$2:$A$1000,$A5,Traffic_Mo_phong!$B$2:$B$1000,"Organic")</f>
        <v>700</v>
      </c>
      <c r="G5" s="14">
        <f>SUMIFS(Traffic_Mo_phong!$G$2:$G$1000,Traffic_Mo_phong!$A$2:$A$1000,$A5,Traffic_Mo_phong!$B$2:$B$1000,"Paid")</f>
        <v>1750</v>
      </c>
      <c r="H5" s="14">
        <f>SUMIFS(Traffic_Mo_phong!$H$2:$H$1000,Traffic_Mo_phong!$A$2:$A$1000,$A5,Traffic_Mo_phong!$B$2:$B$1000,"Social Organic")</f>
        <v>830</v>
      </c>
      <c r="I5" s="14">
        <f>SUMIFS(Traffic_Mo_phong!$G$2:$G$1000,Traffic_Mo_phong!$A$2:$A$1000,$A5,Traffic_Mo_phong!$B$2:$B$1000,"Social Organic")</f>
        <v>1140</v>
      </c>
    </row>
    <row r="6" spans="1:9" x14ac:dyDescent="0.3">
      <c r="A6" s="49">
        <v>46300</v>
      </c>
      <c r="B6" s="16">
        <f>SUMIFS(Traffic_Mo_phong!$E$2:$E$1000,Traffic_Mo_phong!$A$2:$A$1000,$A6,Traffic_Mo_phong!$B$2:$B$1000,"Organic")</f>
        <v>57</v>
      </c>
      <c r="C6" s="16">
        <f>SUMIFS(Traffic_Mo_phong!$E$2:$E$1000,Traffic_Mo_phong!$A$2:$A$1000,$A6,Traffic_Mo_phong!$B$2:$B$1000,"Paid")</f>
        <v>42</v>
      </c>
      <c r="D6" s="16">
        <f>SUMIFS(Traffic_Mo_phong!$E$2:$E$1000,Traffic_Mo_phong!$A$2:$A$1000,$A6,Traffic_Mo_phong!$B$2:$B$1000,"Social Organic")</f>
        <v>18</v>
      </c>
      <c r="E6" s="16">
        <f>SUMIFS(Traffic_Mo_phong!$I$2:$I$1000,Traffic_Mo_phong!$A$2:$A$1000,$A6,Traffic_Mo_phong!$B$2:$B$1000,"Paid")</f>
        <v>165000</v>
      </c>
      <c r="F6" s="16">
        <f>SUMIFS(Traffic_Mo_phong!$G$2:$G$1000,Traffic_Mo_phong!$A$2:$A$1000,$A6,Traffic_Mo_phong!$B$2:$B$1000,"Organic")</f>
        <v>740</v>
      </c>
      <c r="G6" s="16">
        <f>SUMIFS(Traffic_Mo_phong!$G$2:$G$1000,Traffic_Mo_phong!$A$2:$A$1000,$A6,Traffic_Mo_phong!$B$2:$B$1000,"Paid")</f>
        <v>1880</v>
      </c>
      <c r="H6" s="16">
        <f>SUMIFS(Traffic_Mo_phong!$H$2:$H$1000,Traffic_Mo_phong!$A$2:$A$1000,$A6,Traffic_Mo_phong!$B$2:$B$1000,"Social Organic")</f>
        <v>890</v>
      </c>
      <c r="I6" s="16">
        <f>SUMIFS(Traffic_Mo_phong!$G$2:$G$1000,Traffic_Mo_phong!$A$2:$A$1000,$A6,Traffic_Mo_phong!$B$2:$B$1000,"Social Organic")</f>
        <v>1240</v>
      </c>
    </row>
    <row r="7" spans="1:9" x14ac:dyDescent="0.3">
      <c r="A7" s="50">
        <v>46301</v>
      </c>
      <c r="B7" s="14">
        <f>SUMIFS(Traffic_Mo_phong!$E$2:$E$1000,Traffic_Mo_phong!$A$2:$A$1000,$A7,Traffic_Mo_phong!$B$2:$B$1000,"Organic")</f>
        <v>51</v>
      </c>
      <c r="C7" s="14">
        <f>SUMIFS(Traffic_Mo_phong!$E$2:$E$1000,Traffic_Mo_phong!$A$2:$A$1000,$A7,Traffic_Mo_phong!$B$2:$B$1000,"Paid")</f>
        <v>37</v>
      </c>
      <c r="D7" s="14">
        <f>SUMIFS(Traffic_Mo_phong!$E$2:$E$1000,Traffic_Mo_phong!$A$2:$A$1000,$A7,Traffic_Mo_phong!$B$2:$B$1000,"Social Organic")</f>
        <v>15</v>
      </c>
      <c r="E7" s="14">
        <f>SUMIFS(Traffic_Mo_phong!$I$2:$I$1000,Traffic_Mo_phong!$A$2:$A$1000,$A7,Traffic_Mo_phong!$B$2:$B$1000,"Paid")</f>
        <v>147000</v>
      </c>
      <c r="F7" s="14">
        <f>SUMIFS(Traffic_Mo_phong!$G$2:$G$1000,Traffic_Mo_phong!$A$2:$A$1000,$A7,Traffic_Mo_phong!$B$2:$B$1000,"Organic")</f>
        <v>715</v>
      </c>
      <c r="G7" s="14">
        <f>SUMIFS(Traffic_Mo_phong!$G$2:$G$1000,Traffic_Mo_phong!$A$2:$A$1000,$A7,Traffic_Mo_phong!$B$2:$B$1000,"Paid")</f>
        <v>1810</v>
      </c>
      <c r="H7" s="14">
        <f>SUMIFS(Traffic_Mo_phong!$H$2:$H$1000,Traffic_Mo_phong!$A$2:$A$1000,$A7,Traffic_Mo_phong!$B$2:$B$1000,"Social Organic")</f>
        <v>850</v>
      </c>
      <c r="I7" s="14">
        <f>SUMIFS(Traffic_Mo_phong!$G$2:$G$1000,Traffic_Mo_phong!$A$2:$A$1000,$A7,Traffic_Mo_phong!$B$2:$B$1000,"Social Organic")</f>
        <v>1180</v>
      </c>
    </row>
    <row r="8" spans="1:9" x14ac:dyDescent="0.3">
      <c r="A8" s="49">
        <v>46302</v>
      </c>
      <c r="B8" s="16">
        <f>SUMIFS(Traffic_Mo_phong!$E$2:$E$1000,Traffic_Mo_phong!$A$2:$A$1000,$A8,Traffic_Mo_phong!$B$2:$B$1000,"Organic")</f>
        <v>60</v>
      </c>
      <c r="C8" s="16">
        <f>SUMIFS(Traffic_Mo_phong!$E$2:$E$1000,Traffic_Mo_phong!$A$2:$A$1000,$A8,Traffic_Mo_phong!$B$2:$B$1000,"Paid")</f>
        <v>44</v>
      </c>
      <c r="D8" s="16">
        <f>SUMIFS(Traffic_Mo_phong!$E$2:$E$1000,Traffic_Mo_phong!$A$2:$A$1000,$A8,Traffic_Mo_phong!$B$2:$B$1000,"Social Organic")</f>
        <v>19</v>
      </c>
      <c r="E8" s="16">
        <f>SUMIFS(Traffic_Mo_phong!$I$2:$I$1000,Traffic_Mo_phong!$A$2:$A$1000,$A8,Traffic_Mo_phong!$B$2:$B$1000,"Paid")</f>
        <v>174000</v>
      </c>
      <c r="F8" s="16">
        <f>SUMIFS(Traffic_Mo_phong!$G$2:$G$1000,Traffic_Mo_phong!$A$2:$A$1000,$A8,Traffic_Mo_phong!$B$2:$B$1000,"Organic")</f>
        <v>780</v>
      </c>
      <c r="G8" s="16">
        <f>SUMIFS(Traffic_Mo_phong!$G$2:$G$1000,Traffic_Mo_phong!$A$2:$A$1000,$A8,Traffic_Mo_phong!$B$2:$B$1000,"Paid")</f>
        <v>1990</v>
      </c>
      <c r="H8" s="16">
        <f>SUMIFS(Traffic_Mo_phong!$H$2:$H$1000,Traffic_Mo_phong!$A$2:$A$1000,$A8,Traffic_Mo_phong!$B$2:$B$1000,"Social Organic")</f>
        <v>930</v>
      </c>
      <c r="I8" s="16">
        <f>SUMIFS(Traffic_Mo_phong!$G$2:$G$1000,Traffic_Mo_phong!$A$2:$A$1000,$A8,Traffic_Mo_phong!$B$2:$B$1000,"Social Organic")</f>
        <v>1300</v>
      </c>
    </row>
    <row r="9" spans="1:9" x14ac:dyDescent="0.3">
      <c r="A9" s="50">
        <v>46303</v>
      </c>
      <c r="B9" s="14">
        <f>SUMIFS(Traffic_Mo_phong!$E$2:$E$1000,Traffic_Mo_phong!$A$2:$A$1000,$A9,Traffic_Mo_phong!$B$2:$B$1000,"Organic")</f>
        <v>62</v>
      </c>
      <c r="C9" s="14">
        <f>SUMIFS(Traffic_Mo_phong!$E$2:$E$1000,Traffic_Mo_phong!$A$2:$A$1000,$A9,Traffic_Mo_phong!$B$2:$B$1000,"Paid")</f>
        <v>46</v>
      </c>
      <c r="D9" s="14">
        <f>SUMIFS(Traffic_Mo_phong!$E$2:$E$1000,Traffic_Mo_phong!$A$2:$A$1000,$A9,Traffic_Mo_phong!$B$2:$B$1000,"Social Organic")</f>
        <v>20</v>
      </c>
      <c r="E9" s="14">
        <f>SUMIFS(Traffic_Mo_phong!$I$2:$I$1000,Traffic_Mo_phong!$A$2:$A$1000,$A9,Traffic_Mo_phong!$B$2:$B$1000,"Paid")</f>
        <v>180000</v>
      </c>
      <c r="F9" s="14">
        <f>SUMIFS(Traffic_Mo_phong!$G$2:$G$1000,Traffic_Mo_phong!$A$2:$A$1000,$A9,Traffic_Mo_phong!$B$2:$B$1000,"Organic")</f>
        <v>810</v>
      </c>
      <c r="G9" s="14">
        <f>SUMIFS(Traffic_Mo_phong!$G$2:$G$1000,Traffic_Mo_phong!$A$2:$A$1000,$A9,Traffic_Mo_phong!$B$2:$B$1000,"Paid")</f>
        <v>2050</v>
      </c>
      <c r="H9" s="14">
        <f>SUMIFS(Traffic_Mo_phong!$H$2:$H$1000,Traffic_Mo_phong!$A$2:$A$1000,$A9,Traffic_Mo_phong!$B$2:$B$1000,"Social Organic")</f>
        <v>990</v>
      </c>
      <c r="I9" s="14">
        <f>SUMIFS(Traffic_Mo_phong!$G$2:$G$1000,Traffic_Mo_phong!$A$2:$A$1000,$A9,Traffic_Mo_phong!$B$2:$B$1000,"Social Organic")</f>
        <v>1380</v>
      </c>
    </row>
    <row r="10" spans="1:9" x14ac:dyDescent="0.3">
      <c r="A10" s="49">
        <v>46304</v>
      </c>
      <c r="B10" s="16">
        <f>SUMIFS(Traffic_Mo_phong!$E$2:$E$1000,Traffic_Mo_phong!$A$2:$A$1000,$A10,Traffic_Mo_phong!$B$2:$B$1000,"Organic")</f>
        <v>58</v>
      </c>
      <c r="C10" s="16">
        <f>SUMIFS(Traffic_Mo_phong!$E$2:$E$1000,Traffic_Mo_phong!$A$2:$A$1000,$A10,Traffic_Mo_phong!$B$2:$B$1000,"Paid")</f>
        <v>43</v>
      </c>
      <c r="D10" s="16">
        <f>SUMIFS(Traffic_Mo_phong!$E$2:$E$1000,Traffic_Mo_phong!$A$2:$A$1000,$A10,Traffic_Mo_phong!$B$2:$B$1000,"Social Organic")</f>
        <v>18</v>
      </c>
      <c r="E10" s="16">
        <f>SUMIFS(Traffic_Mo_phong!$I$2:$I$1000,Traffic_Mo_phong!$A$2:$A$1000,$A10,Traffic_Mo_phong!$B$2:$B$1000,"Paid")</f>
        <v>171000</v>
      </c>
      <c r="F10" s="16">
        <f>SUMIFS(Traffic_Mo_phong!$G$2:$G$1000,Traffic_Mo_phong!$A$2:$A$1000,$A10,Traffic_Mo_phong!$B$2:$B$1000,"Organic")</f>
        <v>790</v>
      </c>
      <c r="G10" s="16">
        <f>SUMIFS(Traffic_Mo_phong!$G$2:$G$1000,Traffic_Mo_phong!$A$2:$A$1000,$A10,Traffic_Mo_phong!$B$2:$B$1000,"Paid")</f>
        <v>2010</v>
      </c>
      <c r="H10" s="16">
        <f>SUMIFS(Traffic_Mo_phong!$H$2:$H$1000,Traffic_Mo_phong!$A$2:$A$1000,$A10,Traffic_Mo_phong!$B$2:$B$1000,"Social Organic")</f>
        <v>950</v>
      </c>
      <c r="I10" s="16">
        <f>SUMIFS(Traffic_Mo_phong!$G$2:$G$1000,Traffic_Mo_phong!$A$2:$A$1000,$A10,Traffic_Mo_phong!$B$2:$B$1000,"Social Organic")</f>
        <v>1330</v>
      </c>
    </row>
    <row r="11" spans="1:9" x14ac:dyDescent="0.3">
      <c r="A11" s="50">
        <v>46305</v>
      </c>
      <c r="B11" s="14">
        <f>SUMIFS(Traffic_Mo_phong!$E$2:$E$1000,Traffic_Mo_phong!$A$2:$A$1000,$A11,Traffic_Mo_phong!$B$2:$B$1000,"Organic")</f>
        <v>65</v>
      </c>
      <c r="C11" s="14">
        <f>SUMIFS(Traffic_Mo_phong!$E$2:$E$1000,Traffic_Mo_phong!$A$2:$A$1000,$A11,Traffic_Mo_phong!$B$2:$B$1000,"Paid")</f>
        <v>48</v>
      </c>
      <c r="D11" s="14">
        <f>SUMIFS(Traffic_Mo_phong!$E$2:$E$1000,Traffic_Mo_phong!$A$2:$A$1000,$A11,Traffic_Mo_phong!$B$2:$B$1000,"Social Organic")</f>
        <v>22</v>
      </c>
      <c r="E11" s="14">
        <f>SUMIFS(Traffic_Mo_phong!$I$2:$I$1000,Traffic_Mo_phong!$A$2:$A$1000,$A11,Traffic_Mo_phong!$B$2:$B$1000,"Paid")</f>
        <v>189000</v>
      </c>
      <c r="F11" s="14">
        <f>SUMIFS(Traffic_Mo_phong!$G$2:$G$1000,Traffic_Mo_phong!$A$2:$A$1000,$A11,Traffic_Mo_phong!$B$2:$B$1000,"Organic")</f>
        <v>860</v>
      </c>
      <c r="G11" s="14">
        <f>SUMIFS(Traffic_Mo_phong!$G$2:$G$1000,Traffic_Mo_phong!$A$2:$A$1000,$A11,Traffic_Mo_phong!$B$2:$B$1000,"Paid")</f>
        <v>2180</v>
      </c>
      <c r="H11" s="14">
        <f>SUMIFS(Traffic_Mo_phong!$H$2:$H$1000,Traffic_Mo_phong!$A$2:$A$1000,$A11,Traffic_Mo_phong!$B$2:$B$1000,"Social Organic")</f>
        <v>1050</v>
      </c>
      <c r="I11" s="14">
        <f>SUMIFS(Traffic_Mo_phong!$G$2:$G$1000,Traffic_Mo_phong!$A$2:$A$1000,$A11,Traffic_Mo_phong!$B$2:$B$1000,"Social Organic")</f>
        <v>1480</v>
      </c>
    </row>
    <row r="12" spans="1:9" x14ac:dyDescent="0.3">
      <c r="A12" s="49">
        <v>46306</v>
      </c>
      <c r="B12" s="16">
        <f>SUMIFS(Traffic_Mo_phong!$E$2:$E$1000,Traffic_Mo_phong!$A$2:$A$1000,$A12,Traffic_Mo_phong!$B$2:$B$1000,"Organic")</f>
        <v>68</v>
      </c>
      <c r="C12" s="16">
        <f>SUMIFS(Traffic_Mo_phong!$E$2:$E$1000,Traffic_Mo_phong!$A$2:$A$1000,$A12,Traffic_Mo_phong!$B$2:$B$1000,"Paid")</f>
        <v>50</v>
      </c>
      <c r="D12" s="16">
        <f>SUMIFS(Traffic_Mo_phong!$E$2:$E$1000,Traffic_Mo_phong!$A$2:$A$1000,$A12,Traffic_Mo_phong!$B$2:$B$1000,"Social Organic")</f>
        <v>23</v>
      </c>
      <c r="E12" s="16">
        <f>SUMIFS(Traffic_Mo_phong!$I$2:$I$1000,Traffic_Mo_phong!$A$2:$A$1000,$A12,Traffic_Mo_phong!$B$2:$B$1000,"Paid")</f>
        <v>198000</v>
      </c>
      <c r="F12" s="16">
        <f>SUMIFS(Traffic_Mo_phong!$G$2:$G$1000,Traffic_Mo_phong!$A$2:$A$1000,$A12,Traffic_Mo_phong!$B$2:$B$1000,"Organic")</f>
        <v>900</v>
      </c>
      <c r="G12" s="16">
        <f>SUMIFS(Traffic_Mo_phong!$G$2:$G$1000,Traffic_Mo_phong!$A$2:$A$1000,$A12,Traffic_Mo_phong!$B$2:$B$1000,"Paid")</f>
        <v>2270</v>
      </c>
      <c r="H12" s="16">
        <f>SUMIFS(Traffic_Mo_phong!$H$2:$H$1000,Traffic_Mo_phong!$A$2:$A$1000,$A12,Traffic_Mo_phong!$B$2:$B$1000,"Social Organic")</f>
        <v>1110</v>
      </c>
      <c r="I12" s="16">
        <f>SUMIFS(Traffic_Mo_phong!$G$2:$G$1000,Traffic_Mo_phong!$A$2:$A$1000,$A12,Traffic_Mo_phong!$B$2:$B$1000,"Social Organic")</f>
        <v>1550</v>
      </c>
    </row>
    <row r="13" spans="1:9" x14ac:dyDescent="0.3">
      <c r="A13" s="50">
        <v>46307</v>
      </c>
      <c r="B13" s="14">
        <f>SUMIFS(Traffic_Mo_phong!$E$2:$E$1000,Traffic_Mo_phong!$A$2:$A$1000,$A13,Traffic_Mo_phong!$B$2:$B$1000,"Organic")</f>
        <v>64</v>
      </c>
      <c r="C13" s="14">
        <f>SUMIFS(Traffic_Mo_phong!$E$2:$E$1000,Traffic_Mo_phong!$A$2:$A$1000,$A13,Traffic_Mo_phong!$B$2:$B$1000,"Paid")</f>
        <v>47</v>
      </c>
      <c r="D13" s="14">
        <f>SUMIFS(Traffic_Mo_phong!$E$2:$E$1000,Traffic_Mo_phong!$A$2:$A$1000,$A13,Traffic_Mo_phong!$B$2:$B$1000,"Social Organic")</f>
        <v>21</v>
      </c>
      <c r="E13" s="14">
        <f>SUMIFS(Traffic_Mo_phong!$I$2:$I$1000,Traffic_Mo_phong!$A$2:$A$1000,$A13,Traffic_Mo_phong!$B$2:$B$1000,"Paid")</f>
        <v>186000</v>
      </c>
      <c r="F13" s="14">
        <f>SUMIFS(Traffic_Mo_phong!$G$2:$G$1000,Traffic_Mo_phong!$A$2:$A$1000,$A13,Traffic_Mo_phong!$B$2:$B$1000,"Organic")</f>
        <v>875</v>
      </c>
      <c r="G13" s="14">
        <f>SUMIFS(Traffic_Mo_phong!$G$2:$G$1000,Traffic_Mo_phong!$A$2:$A$1000,$A13,Traffic_Mo_phong!$B$2:$B$1000,"Paid")</f>
        <v>2200</v>
      </c>
      <c r="H13" s="14">
        <f>SUMIFS(Traffic_Mo_phong!$H$2:$H$1000,Traffic_Mo_phong!$A$2:$A$1000,$A13,Traffic_Mo_phong!$B$2:$B$1000,"Social Organic")</f>
        <v>1080</v>
      </c>
      <c r="I13" s="14">
        <f>SUMIFS(Traffic_Mo_phong!$G$2:$G$1000,Traffic_Mo_phong!$A$2:$A$1000,$A13,Traffic_Mo_phong!$B$2:$B$1000,"Social Organic")</f>
        <v>1500</v>
      </c>
    </row>
    <row r="14" spans="1:9" x14ac:dyDescent="0.3">
      <c r="A14" s="49">
        <v>46308</v>
      </c>
      <c r="B14" s="16">
        <f>SUMIFS(Traffic_Mo_phong!$E$2:$E$1000,Traffic_Mo_phong!$A$2:$A$1000,$A14,Traffic_Mo_phong!$B$2:$B$1000,"Organic")</f>
        <v>71</v>
      </c>
      <c r="C14" s="16">
        <f>SUMIFS(Traffic_Mo_phong!$E$2:$E$1000,Traffic_Mo_phong!$A$2:$A$1000,$A14,Traffic_Mo_phong!$B$2:$B$1000,"Paid")</f>
        <v>53</v>
      </c>
      <c r="D14" s="16">
        <f>SUMIFS(Traffic_Mo_phong!$E$2:$E$1000,Traffic_Mo_phong!$A$2:$A$1000,$A14,Traffic_Mo_phong!$B$2:$B$1000,"Social Organic")</f>
        <v>24</v>
      </c>
      <c r="E14" s="16">
        <f>SUMIFS(Traffic_Mo_phong!$I$2:$I$1000,Traffic_Mo_phong!$A$2:$A$1000,$A14,Traffic_Mo_phong!$B$2:$B$1000,"Paid")</f>
        <v>207000</v>
      </c>
      <c r="F14" s="16">
        <f>SUMIFS(Traffic_Mo_phong!$G$2:$G$1000,Traffic_Mo_phong!$A$2:$A$1000,$A14,Traffic_Mo_phong!$B$2:$B$1000,"Organic")</f>
        <v>940</v>
      </c>
      <c r="G14" s="16">
        <f>SUMIFS(Traffic_Mo_phong!$G$2:$G$1000,Traffic_Mo_phong!$A$2:$A$1000,$A14,Traffic_Mo_phong!$B$2:$B$1000,"Paid")</f>
        <v>2390</v>
      </c>
      <c r="H14" s="16">
        <f>SUMIFS(Traffic_Mo_phong!$H$2:$H$1000,Traffic_Mo_phong!$A$2:$A$1000,$A14,Traffic_Mo_phong!$B$2:$B$1000,"Social Organic")</f>
        <v>1170</v>
      </c>
      <c r="I14" s="16">
        <f>SUMIFS(Traffic_Mo_phong!$G$2:$G$1000,Traffic_Mo_phong!$A$2:$A$1000,$A14,Traffic_Mo_phong!$B$2:$B$1000,"Social Organic")</f>
        <v>1640</v>
      </c>
    </row>
    <row r="15" spans="1:9" x14ac:dyDescent="0.3">
      <c r="A15" s="50">
        <v>46309</v>
      </c>
      <c r="B15" s="14">
        <f>SUMIFS(Traffic_Mo_phong!$E$2:$E$1000,Traffic_Mo_phong!$A$2:$A$1000,$A15,Traffic_Mo_phong!$B$2:$B$1000,"Organic")</f>
        <v>75</v>
      </c>
      <c r="C15" s="14">
        <f>SUMIFS(Traffic_Mo_phong!$E$2:$E$1000,Traffic_Mo_phong!$A$2:$A$1000,$A15,Traffic_Mo_phong!$B$2:$B$1000,"Paid")</f>
        <v>56</v>
      </c>
      <c r="D15" s="14">
        <f>SUMIFS(Traffic_Mo_phong!$E$2:$E$1000,Traffic_Mo_phong!$A$2:$A$1000,$A15,Traffic_Mo_phong!$B$2:$B$1000,"Social Organic")</f>
        <v>27</v>
      </c>
      <c r="E15" s="14">
        <f>SUMIFS(Traffic_Mo_phong!$I$2:$I$1000,Traffic_Mo_phong!$A$2:$A$1000,$A15,Traffic_Mo_phong!$B$2:$B$1000,"Paid")</f>
        <v>219000</v>
      </c>
      <c r="F15" s="14">
        <f>SUMIFS(Traffic_Mo_phong!$G$2:$G$1000,Traffic_Mo_phong!$A$2:$A$1000,$A15,Traffic_Mo_phong!$B$2:$B$1000,"Organic")</f>
        <v>990</v>
      </c>
      <c r="G15" s="14">
        <f>SUMIFS(Traffic_Mo_phong!$G$2:$G$1000,Traffic_Mo_phong!$A$2:$A$1000,$A15,Traffic_Mo_phong!$B$2:$B$1000,"Paid")</f>
        <v>2510</v>
      </c>
      <c r="H15" s="14">
        <f>SUMIFS(Traffic_Mo_phong!$H$2:$H$1000,Traffic_Mo_phong!$A$2:$A$1000,$A15,Traffic_Mo_phong!$B$2:$B$1000,"Social Organic")</f>
        <v>1280</v>
      </c>
      <c r="I15" s="14">
        <f>SUMIFS(Traffic_Mo_phong!$G$2:$G$1000,Traffic_Mo_phong!$A$2:$A$1000,$A15,Traffic_Mo_phong!$B$2:$B$1000,"Social Organic")</f>
        <v>1780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9F33-062F-40FC-84F9-3A3CC4E483BF}">
  <dimension ref="A1:C22"/>
  <sheetViews>
    <sheetView workbookViewId="0">
      <selection activeCell="A2" sqref="A2:XFD2"/>
    </sheetView>
  </sheetViews>
  <sheetFormatPr defaultRowHeight="14.4" x14ac:dyDescent="0.3"/>
  <cols>
    <col min="1" max="1" width="25.5546875" customWidth="1"/>
    <col min="2" max="2" width="27.5546875" customWidth="1"/>
    <col min="3" max="3" width="40.21875" customWidth="1"/>
  </cols>
  <sheetData>
    <row r="1" spans="1:3" ht="82.8" x14ac:dyDescent="0.3">
      <c r="A1" s="68" t="s">
        <v>483</v>
      </c>
      <c r="B1" s="68" t="s">
        <v>484</v>
      </c>
      <c r="C1" s="68" t="s">
        <v>273</v>
      </c>
    </row>
    <row r="2" spans="1:3" ht="69" x14ac:dyDescent="0.3">
      <c r="A2" s="69" t="s">
        <v>485</v>
      </c>
      <c r="B2" s="69" t="s">
        <v>194</v>
      </c>
      <c r="C2" s="69" t="s">
        <v>486</v>
      </c>
    </row>
    <row r="3" spans="1:3" ht="69" x14ac:dyDescent="0.3">
      <c r="A3" s="70" t="s">
        <v>487</v>
      </c>
      <c r="B3" s="70" t="s">
        <v>479</v>
      </c>
      <c r="C3" s="70" t="s">
        <v>488</v>
      </c>
    </row>
    <row r="4" spans="1:3" ht="69" x14ac:dyDescent="0.3">
      <c r="A4" s="69" t="s">
        <v>489</v>
      </c>
      <c r="B4" s="69" t="s">
        <v>490</v>
      </c>
      <c r="C4" s="69" t="s">
        <v>491</v>
      </c>
    </row>
    <row r="5" spans="1:3" ht="151.80000000000001" x14ac:dyDescent="0.3">
      <c r="A5" s="70" t="s">
        <v>492</v>
      </c>
      <c r="B5" s="70" t="s">
        <v>493</v>
      </c>
      <c r="C5" s="70" t="s">
        <v>494</v>
      </c>
    </row>
    <row r="6" spans="1:3" ht="193.2" x14ac:dyDescent="0.3">
      <c r="A6" s="69" t="s">
        <v>495</v>
      </c>
      <c r="B6" s="69" t="s">
        <v>496</v>
      </c>
      <c r="C6" s="69" t="s">
        <v>497</v>
      </c>
    </row>
    <row r="7" spans="1:3" ht="151.80000000000001" x14ac:dyDescent="0.3">
      <c r="A7" s="70" t="s">
        <v>498</v>
      </c>
      <c r="B7" s="70" t="s">
        <v>499</v>
      </c>
      <c r="C7" s="70" t="s">
        <v>500</v>
      </c>
    </row>
    <row r="8" spans="1:3" ht="55.2" x14ac:dyDescent="0.3">
      <c r="A8" s="69" t="s">
        <v>501</v>
      </c>
      <c r="B8" s="69" t="s">
        <v>502</v>
      </c>
      <c r="C8" s="69" t="s">
        <v>503</v>
      </c>
    </row>
    <row r="9" spans="1:3" ht="124.2" x14ac:dyDescent="0.3">
      <c r="A9" s="70" t="s">
        <v>504</v>
      </c>
      <c r="B9" s="70" t="s">
        <v>505</v>
      </c>
      <c r="C9" s="70" t="s">
        <v>506</v>
      </c>
    </row>
    <row r="10" spans="1:3" ht="179.4" x14ac:dyDescent="0.3">
      <c r="A10" s="69" t="s">
        <v>507</v>
      </c>
      <c r="B10" s="69" t="s">
        <v>508</v>
      </c>
      <c r="C10" s="69" t="s">
        <v>509</v>
      </c>
    </row>
    <row r="11" spans="1:3" ht="96.6" x14ac:dyDescent="0.3">
      <c r="A11" s="70" t="s">
        <v>510</v>
      </c>
      <c r="B11" s="70" t="s">
        <v>511</v>
      </c>
      <c r="C11" s="70" t="s">
        <v>512</v>
      </c>
    </row>
    <row r="12" spans="1:3" ht="276" x14ac:dyDescent="0.3">
      <c r="A12" s="69" t="s">
        <v>513</v>
      </c>
      <c r="B12" s="69" t="s">
        <v>514</v>
      </c>
      <c r="C12" s="69" t="s">
        <v>515</v>
      </c>
    </row>
    <row r="13" spans="1:3" ht="138" x14ac:dyDescent="0.3">
      <c r="A13" s="70" t="s">
        <v>516</v>
      </c>
      <c r="B13" s="70" t="s">
        <v>517</v>
      </c>
      <c r="C13" s="70" t="s">
        <v>518</v>
      </c>
    </row>
    <row r="14" spans="1:3" ht="55.2" x14ac:dyDescent="0.3">
      <c r="A14" s="69" t="s">
        <v>519</v>
      </c>
      <c r="B14" s="69" t="s">
        <v>520</v>
      </c>
      <c r="C14" s="69" t="s">
        <v>521</v>
      </c>
    </row>
    <row r="15" spans="1:3" ht="55.2" x14ac:dyDescent="0.3">
      <c r="A15" s="70" t="s">
        <v>4</v>
      </c>
      <c r="B15" s="70" t="s">
        <v>520</v>
      </c>
      <c r="C15" s="70" t="s">
        <v>521</v>
      </c>
    </row>
    <row r="16" spans="1:3" ht="55.2" x14ac:dyDescent="0.3">
      <c r="A16" s="69" t="s">
        <v>315</v>
      </c>
      <c r="B16" s="69" t="s">
        <v>520</v>
      </c>
      <c r="C16" s="69" t="s">
        <v>521</v>
      </c>
    </row>
    <row r="17" spans="1:3" ht="55.2" x14ac:dyDescent="0.3">
      <c r="A17" s="70" t="s">
        <v>7</v>
      </c>
      <c r="B17" s="70" t="s">
        <v>520</v>
      </c>
      <c r="C17" s="70" t="s">
        <v>521</v>
      </c>
    </row>
    <row r="18" spans="1:3" ht="55.2" x14ac:dyDescent="0.3">
      <c r="A18" s="69" t="s">
        <v>144</v>
      </c>
      <c r="B18" s="69" t="s">
        <v>520</v>
      </c>
      <c r="C18" s="69" t="s">
        <v>521</v>
      </c>
    </row>
    <row r="19" spans="1:3" ht="193.2" x14ac:dyDescent="0.3">
      <c r="A19" s="70" t="s">
        <v>522</v>
      </c>
      <c r="B19" s="70" t="s">
        <v>523</v>
      </c>
      <c r="C19" s="70" t="s">
        <v>524</v>
      </c>
    </row>
    <row r="20" spans="1:3" ht="165.6" x14ac:dyDescent="0.3">
      <c r="A20" s="69" t="s">
        <v>525</v>
      </c>
      <c r="B20" s="69" t="s">
        <v>526</v>
      </c>
      <c r="C20" s="69" t="s">
        <v>527</v>
      </c>
    </row>
    <row r="21" spans="1:3" ht="151.80000000000001" x14ac:dyDescent="0.3">
      <c r="A21" s="70" t="s">
        <v>528</v>
      </c>
      <c r="B21" s="70" t="s">
        <v>529</v>
      </c>
      <c r="C21" s="70" t="s">
        <v>530</v>
      </c>
    </row>
    <row r="22" spans="1:3" ht="193.2" x14ac:dyDescent="0.3">
      <c r="A22" s="69" t="s">
        <v>531</v>
      </c>
      <c r="B22" s="69" t="s">
        <v>532</v>
      </c>
      <c r="C22" s="69" t="s">
        <v>533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03C4-F6F6-4746-ABE5-7B93E8F392C4}">
  <dimension ref="A1:E16"/>
  <sheetViews>
    <sheetView workbookViewId="0">
      <selection activeCell="G5" sqref="G5"/>
    </sheetView>
  </sheetViews>
  <sheetFormatPr defaultRowHeight="13.8" x14ac:dyDescent="0.25"/>
  <cols>
    <col min="1" max="1" width="28.88671875" style="59" customWidth="1"/>
    <col min="2" max="2" width="28" style="59" customWidth="1"/>
    <col min="3" max="3" width="30.21875" style="59" customWidth="1"/>
    <col min="4" max="4" width="28.6640625" style="59" customWidth="1"/>
    <col min="5" max="5" width="39.77734375" style="59" customWidth="1"/>
    <col min="6" max="16384" width="8.88671875" style="59"/>
  </cols>
  <sheetData>
    <row r="1" spans="1:5" ht="17.399999999999999" x14ac:dyDescent="0.3">
      <c r="A1" s="71" t="s">
        <v>534</v>
      </c>
      <c r="B1" s="71"/>
      <c r="C1" s="71"/>
      <c r="D1" s="71"/>
      <c r="E1" s="71"/>
    </row>
    <row r="2" spans="1:5" x14ac:dyDescent="0.25">
      <c r="A2" s="72" t="s">
        <v>535</v>
      </c>
      <c r="B2" s="73" t="s">
        <v>536</v>
      </c>
      <c r="C2" s="73"/>
      <c r="D2" s="73"/>
      <c r="E2" s="73"/>
    </row>
    <row r="3" spans="1:5" x14ac:dyDescent="0.25">
      <c r="A3" s="74" t="s">
        <v>68</v>
      </c>
      <c r="B3" s="74" t="s">
        <v>537</v>
      </c>
      <c r="C3" s="74" t="s">
        <v>538</v>
      </c>
      <c r="D3" s="74" t="s">
        <v>70</v>
      </c>
      <c r="E3" s="74" t="s">
        <v>539</v>
      </c>
    </row>
    <row r="4" spans="1:5" ht="39.6" x14ac:dyDescent="0.25">
      <c r="A4" s="75" t="s">
        <v>4</v>
      </c>
      <c r="B4" s="75">
        <v>10000</v>
      </c>
      <c r="C4" s="75">
        <v>10000</v>
      </c>
      <c r="D4" s="75" t="s">
        <v>540</v>
      </c>
      <c r="E4" s="75" t="s">
        <v>541</v>
      </c>
    </row>
    <row r="5" spans="1:5" ht="39.6" x14ac:dyDescent="0.25">
      <c r="A5" s="76" t="s">
        <v>315</v>
      </c>
      <c r="B5" s="76">
        <v>400</v>
      </c>
      <c r="C5" s="76">
        <v>350</v>
      </c>
      <c r="D5" s="76" t="s">
        <v>540</v>
      </c>
      <c r="E5" s="76" t="s">
        <v>542</v>
      </c>
    </row>
    <row r="6" spans="1:5" ht="39.6" x14ac:dyDescent="0.25">
      <c r="A6" s="75" t="s">
        <v>100</v>
      </c>
      <c r="B6" s="77">
        <f>IFERROR(B5/B4,0)</f>
        <v>0.04</v>
      </c>
      <c r="C6" s="77">
        <f>IFERROR(C5/C4,0)</f>
        <v>3.5000000000000003E-2</v>
      </c>
      <c r="D6" s="75" t="s">
        <v>543</v>
      </c>
      <c r="E6" s="75" t="s">
        <v>544</v>
      </c>
    </row>
    <row r="7" spans="1:5" ht="26.4" x14ac:dyDescent="0.25">
      <c r="A7" s="76" t="s">
        <v>545</v>
      </c>
      <c r="B7" s="76">
        <v>3200000</v>
      </c>
      <c r="C7" s="76">
        <v>2975000</v>
      </c>
      <c r="D7" s="76" t="s">
        <v>540</v>
      </c>
      <c r="E7" s="76" t="s">
        <v>546</v>
      </c>
    </row>
    <row r="8" spans="1:5" ht="39.6" x14ac:dyDescent="0.25">
      <c r="A8" s="75" t="s">
        <v>547</v>
      </c>
      <c r="B8" s="78">
        <f>IFERROR(B7/B5,0)</f>
        <v>8000</v>
      </c>
      <c r="C8" s="78">
        <f>IFERROR(C7/C5,0)</f>
        <v>8500</v>
      </c>
      <c r="D8" s="75" t="s">
        <v>548</v>
      </c>
      <c r="E8" s="75" t="s">
        <v>549</v>
      </c>
    </row>
    <row r="9" spans="1:5" ht="39.6" x14ac:dyDescent="0.25">
      <c r="A9" s="76" t="s">
        <v>550</v>
      </c>
      <c r="B9" s="76">
        <v>12</v>
      </c>
      <c r="C9" s="76">
        <v>14</v>
      </c>
      <c r="D9" s="76" t="s">
        <v>551</v>
      </c>
      <c r="E9" s="76" t="s">
        <v>552</v>
      </c>
    </row>
    <row r="10" spans="1:5" ht="39.6" x14ac:dyDescent="0.25">
      <c r="A10" s="75" t="s">
        <v>553</v>
      </c>
      <c r="B10" s="77">
        <f>IFERROR(B9/B5,0)</f>
        <v>0.03</v>
      </c>
      <c r="C10" s="77">
        <f>IFERROR(C9/C5,0)</f>
        <v>0.04</v>
      </c>
      <c r="D10" s="75" t="s">
        <v>554</v>
      </c>
      <c r="E10" s="75" t="s">
        <v>544</v>
      </c>
    </row>
    <row r="11" spans="1:5" ht="39.6" x14ac:dyDescent="0.25">
      <c r="A11" s="76" t="s">
        <v>555</v>
      </c>
      <c r="B11" s="79">
        <f>IFERROR(B7/B9,0)</f>
        <v>266666.66666666669</v>
      </c>
      <c r="C11" s="79">
        <f>IFERROR(C7/C9,0)</f>
        <v>212500</v>
      </c>
      <c r="D11" s="76" t="s">
        <v>556</v>
      </c>
      <c r="E11" s="76" t="s">
        <v>557</v>
      </c>
    </row>
    <row r="12" spans="1:5" ht="39.6" x14ac:dyDescent="0.25">
      <c r="A12" s="75" t="s">
        <v>558</v>
      </c>
      <c r="B12" s="78">
        <v>229000</v>
      </c>
      <c r="C12" s="78">
        <v>229000</v>
      </c>
      <c r="D12" s="75" t="s">
        <v>559</v>
      </c>
      <c r="E12" s="75" t="s">
        <v>293</v>
      </c>
    </row>
    <row r="13" spans="1:5" ht="39.6" x14ac:dyDescent="0.25">
      <c r="A13" s="76" t="s">
        <v>144</v>
      </c>
      <c r="B13" s="79">
        <f>B9*B12</f>
        <v>2748000</v>
      </c>
      <c r="C13" s="79">
        <f>C9*C12</f>
        <v>3206000</v>
      </c>
      <c r="D13" s="76" t="s">
        <v>560</v>
      </c>
      <c r="E13" s="76" t="s">
        <v>546</v>
      </c>
    </row>
    <row r="14" spans="1:5" ht="39.6" x14ac:dyDescent="0.25">
      <c r="A14" s="75" t="s">
        <v>153</v>
      </c>
      <c r="B14" s="77">
        <f>IFERROR(B13/B7,0)</f>
        <v>0.85875000000000001</v>
      </c>
      <c r="C14" s="77">
        <f>IFERROR(C13/C7,0)</f>
        <v>1.0776470588235294</v>
      </c>
      <c r="D14" s="75" t="s">
        <v>561</v>
      </c>
      <c r="E14" s="75" t="s">
        <v>296</v>
      </c>
    </row>
    <row r="15" spans="1:5" ht="92.4" x14ac:dyDescent="0.25">
      <c r="A15" s="76" t="s">
        <v>562</v>
      </c>
      <c r="B15" s="79">
        <v>200000</v>
      </c>
      <c r="C15" s="79">
        <v>200000</v>
      </c>
      <c r="D15" s="76" t="s">
        <v>563</v>
      </c>
      <c r="E15" s="76" t="s">
        <v>564</v>
      </c>
    </row>
    <row r="16" spans="1:5" ht="52.8" x14ac:dyDescent="0.25">
      <c r="A16" s="75" t="s">
        <v>565</v>
      </c>
      <c r="B16" s="78">
        <f>B15*30</f>
        <v>6000000</v>
      </c>
      <c r="C16" s="78">
        <f>C15*30</f>
        <v>6000000</v>
      </c>
      <c r="D16" s="75" t="s">
        <v>566</v>
      </c>
      <c r="E16" s="75" t="s">
        <v>275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0FF1-C76E-4033-9294-E0DD275C9F26}">
  <dimension ref="A1:C14"/>
  <sheetViews>
    <sheetView tabSelected="1" workbookViewId="0">
      <selection sqref="A1:C14"/>
    </sheetView>
  </sheetViews>
  <sheetFormatPr defaultRowHeight="14.4" x14ac:dyDescent="0.3"/>
  <cols>
    <col min="1" max="1" width="43" customWidth="1"/>
    <col min="2" max="2" width="43.33203125" customWidth="1"/>
    <col min="3" max="3" width="46.88671875" customWidth="1"/>
  </cols>
  <sheetData>
    <row r="1" spans="1:3" ht="17.399999999999999" x14ac:dyDescent="0.3">
      <c r="A1" s="71" t="s">
        <v>567</v>
      </c>
      <c r="B1" s="71"/>
      <c r="C1" s="71"/>
    </row>
    <row r="2" spans="1:3" x14ac:dyDescent="0.3">
      <c r="A2" s="74" t="s">
        <v>568</v>
      </c>
      <c r="B2" s="74" t="s">
        <v>569</v>
      </c>
      <c r="C2" s="74" t="s">
        <v>570</v>
      </c>
    </row>
    <row r="3" spans="1:3" ht="66" x14ac:dyDescent="0.3">
      <c r="A3" s="67" t="s">
        <v>4</v>
      </c>
      <c r="B3" s="67" t="s">
        <v>571</v>
      </c>
      <c r="C3" s="67" t="s">
        <v>572</v>
      </c>
    </row>
    <row r="4" spans="1:3" ht="52.8" x14ac:dyDescent="0.3">
      <c r="A4" s="67" t="s">
        <v>315</v>
      </c>
      <c r="B4" s="67" t="s">
        <v>573</v>
      </c>
      <c r="C4" s="67" t="s">
        <v>343</v>
      </c>
    </row>
    <row r="5" spans="1:3" ht="66" x14ac:dyDescent="0.3">
      <c r="A5" s="67" t="s">
        <v>100</v>
      </c>
      <c r="B5" s="67" t="s">
        <v>543</v>
      </c>
      <c r="C5" s="67" t="s">
        <v>574</v>
      </c>
    </row>
    <row r="6" spans="1:3" ht="79.2" x14ac:dyDescent="0.3">
      <c r="A6" s="67" t="s">
        <v>545</v>
      </c>
      <c r="B6" s="67" t="s">
        <v>575</v>
      </c>
      <c r="C6" s="67" t="s">
        <v>576</v>
      </c>
    </row>
    <row r="7" spans="1:3" ht="52.8" x14ac:dyDescent="0.3">
      <c r="A7" s="67" t="s">
        <v>547</v>
      </c>
      <c r="B7" s="67" t="s">
        <v>548</v>
      </c>
      <c r="C7" s="67" t="s">
        <v>577</v>
      </c>
    </row>
    <row r="8" spans="1:3" ht="92.4" x14ac:dyDescent="0.3">
      <c r="A8" s="67" t="s">
        <v>550</v>
      </c>
      <c r="B8" s="67" t="s">
        <v>578</v>
      </c>
      <c r="C8" s="67" t="s">
        <v>579</v>
      </c>
    </row>
    <row r="9" spans="1:3" ht="66" x14ac:dyDescent="0.3">
      <c r="A9" s="67" t="s">
        <v>553</v>
      </c>
      <c r="B9" s="67" t="s">
        <v>554</v>
      </c>
      <c r="C9" s="67" t="s">
        <v>580</v>
      </c>
    </row>
    <row r="10" spans="1:3" ht="79.2" x14ac:dyDescent="0.3">
      <c r="A10" s="67" t="s">
        <v>555</v>
      </c>
      <c r="B10" s="67" t="s">
        <v>556</v>
      </c>
      <c r="C10" s="67" t="s">
        <v>581</v>
      </c>
    </row>
    <row r="11" spans="1:3" ht="79.2" x14ac:dyDescent="0.3">
      <c r="A11" s="67" t="s">
        <v>144</v>
      </c>
      <c r="B11" s="67" t="s">
        <v>582</v>
      </c>
      <c r="C11" s="67" t="s">
        <v>583</v>
      </c>
    </row>
    <row r="12" spans="1:3" ht="79.2" x14ac:dyDescent="0.3">
      <c r="A12" s="67" t="s">
        <v>153</v>
      </c>
      <c r="B12" s="67" t="s">
        <v>561</v>
      </c>
      <c r="C12" s="67" t="s">
        <v>584</v>
      </c>
    </row>
    <row r="13" spans="1:3" ht="66" x14ac:dyDescent="0.3">
      <c r="A13" s="67" t="s">
        <v>585</v>
      </c>
      <c r="B13" s="67" t="s">
        <v>586</v>
      </c>
      <c r="C13" s="67" t="s">
        <v>587</v>
      </c>
    </row>
    <row r="14" spans="1:3" x14ac:dyDescent="0.3">
      <c r="A14" s="59"/>
      <c r="B14" s="59"/>
      <c r="C14" s="5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Huong_dan</vt:lpstr>
      <vt:lpstr>Dashboard_GD5</vt:lpstr>
      <vt:lpstr>Bang_chi_so</vt:lpstr>
      <vt:lpstr>GD4_Dau_ra</vt:lpstr>
      <vt:lpstr>Ke_hoach</vt:lpstr>
      <vt:lpstr>GD3_Dau_vao</vt:lpstr>
      <vt:lpstr>Nhap_SEM</vt:lpstr>
      <vt:lpstr>Nhap_KOC</vt:lpstr>
      <vt:lpstr>Nhap_Traffic</vt:lpstr>
      <vt:lpstr>Nhap_Intent</vt:lpstr>
      <vt:lpstr>Tong_hop_kenh</vt:lpstr>
      <vt:lpstr>Sheet1</vt:lpstr>
      <vt:lpstr>Traffic_Mo_phong</vt:lpstr>
      <vt:lpstr>Lich_Social_14N</vt:lpstr>
      <vt:lpstr>Risk_Pivot</vt:lpstr>
      <vt:lpstr>Traffic_Ngay</vt:lpstr>
      <vt:lpstr>SEM CẤU HÌNH</vt:lpstr>
      <vt:lpstr>SEM KỊCH BẢN PHÂN TÍCH</vt:lpstr>
      <vt:lpstr>SEM TỪ ĐIỂN 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Phương Oanh</cp:lastModifiedBy>
  <cp:revision>0</cp:revision>
  <dcterms:created xsi:type="dcterms:W3CDTF">2026-10-13T12:33:00Z</dcterms:created>
  <dcterms:modified xsi:type="dcterms:W3CDTF">2026-10-21T16:34:42Z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46D9CB6B5C03480CAC4E5B1275CB22DB_13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