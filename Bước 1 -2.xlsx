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activeTab="4"/>
  </bookViews>
  <sheets>
    <sheet name="B1_Dữ liệu đầu vào" sheetId="1" r:id="rId1"/>
    <sheet name="Ngân sách" sheetId="2" r:id="rId2"/>
    <sheet name="B2_AOV" sheetId="3" r:id="rId3"/>
    <sheet name="CPC_Data" sheetId="4" r:id="rId4"/>
    <sheet name="Bước 8 "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<sst xmlns="http://schemas.openxmlformats.org/spreadsheetml/2006/main" count="873" uniqueCount="450">
  <si>
    <t>BƯỚC 1 – BẢNG DỮ LIỆU ĐẦU VÀO GIAI ĐOẠN 3</t>
  </si>
  <si>
    <t>A. Product Catalog (nguồn: Giai đoạn 0 – Bảng 1, Bảng 2 và mục 4.5; giá là mức dự kiến)</t>
  </si>
  <si>
    <t>Mã</t>
  </si>
  <si>
    <t>Sản phẩm</t>
  </si>
  <si>
    <t>Giá vốn (VND)</t>
  </si>
  <si>
    <t>Giá bán (VND)</t>
  </si>
  <si>
    <t>Margin</t>
  </si>
  <si>
    <t>Ghi chú</t>
  </si>
  <si>
    <t>BT500</t>
  </si>
  <si>
    <t>Bình giữ nhiệt 500ml (mọi màu)</t>
  </si>
  <si>
    <t>Hero – 3 SKU màu</t>
  </si>
  <si>
    <t>BT750</t>
  </si>
  <si>
    <t>Bình giữ nhiệt 750ml (mọi màu)</t>
  </si>
  <si>
    <t>Hero – 4 SKU màu</t>
  </si>
  <si>
    <t>BT1000</t>
  </si>
  <si>
    <t>Bình giữ nhiệt 1000ml (mọi màu)</t>
  </si>
  <si>
    <t>CS01</t>
  </si>
  <si>
    <t>Túi đựng bình giữ nhiệt</t>
  </si>
  <si>
    <t>Cross-sell</t>
  </si>
  <si>
    <t>CS02</t>
  </si>
  <si>
    <t>Cọ vệ sinh bình</t>
  </si>
  <si>
    <t>CS03</t>
  </si>
  <si>
    <t>Dây đeo bình</t>
  </si>
  <si>
    <t>CS04</t>
  </si>
  <si>
    <t>Nắp bình thay thế</t>
  </si>
  <si>
    <t>CS05</t>
  </si>
  <si>
    <t>Bộ vệ sinh bình</t>
  </si>
  <si>
    <t>COMBO1</t>
  </si>
  <si>
    <t>Combo 1: 500ml + Cọ vệ sinh</t>
  </si>
  <si>
    <t>Giá vốn = tổng giá vốn thành phần</t>
  </si>
  <si>
    <t>COMBO2</t>
  </si>
  <si>
    <t>Combo 2: 750ml + Túi đựng</t>
  </si>
  <si>
    <t>COMBO3</t>
  </si>
  <si>
    <t>Combo 3: 750ml + Cọ + Túi</t>
  </si>
  <si>
    <t>COMBO4</t>
  </si>
  <si>
    <t>Combo 4: 1000ml + Túi + Cọ</t>
  </si>
  <si>
    <t>B. Giả định và dữ liệu CPC</t>
  </si>
  <si>
    <t>Nhóm</t>
  </si>
  <si>
    <t>Chỉ số</t>
  </si>
  <si>
    <t>Giá trị</t>
  </si>
  <si>
    <t>Nguồn / Giả định</t>
  </si>
  <si>
    <t>Trạng thái</t>
  </si>
  <si>
    <t>Ngân sách</t>
  </si>
  <si>
    <t>Tổng ngân sách quảng cáo (VND/tháng)</t>
  </si>
  <si>
    <t>Giả định theo yêu cầu đề bài</t>
  </si>
  <si>
    <t>Giả định</t>
  </si>
  <si>
    <t>Chuyển đổi</t>
  </si>
  <si>
    <t>CR (Conversion Rate)</t>
  </si>
  <si>
    <t>Giả định minh họa theo đề bài (2,5%)</t>
  </si>
  <si>
    <t>CPC</t>
  </si>
  <si>
    <t>CPC kịch bản thấp (VND)</t>
  </si>
  <si>
    <t>Keyword Planner – trung vị Bid thấp</t>
  </si>
  <si>
    <t>Đã kiểm tra</t>
  </si>
  <si>
    <t>CPC kịch bản cơ sở (VND)</t>
  </si>
  <si>
    <t>Keyword Planner – trung vị trung điểm Bid thấp/cao</t>
  </si>
  <si>
    <t>CPC kịch bản cao (VND)</t>
  </si>
  <si>
    <t>Keyword Planner – trung vị Bid cao</t>
  </si>
  <si>
    <t>Từ khóa</t>
  </si>
  <si>
    <t>Số từ khóa Commercial/Transactional dùng tính CPC</t>
  </si>
  <si>
    <t>Đã loại từ khóa in/khắc tên</t>
  </si>
  <si>
    <t>Tổng lượt tìm/tháng của nhóm này</t>
  </si>
  <si>
    <t>Keyword Planner (lượt tìm làm tròn theo nhóm)</t>
  </si>
  <si>
    <t>PHÂN BỔ NGÂN SÁCH QUẢNG CÁO</t>
  </si>
  <si>
    <t>Đây là đề xuất phân bổ dựa trên dữ liệu Giai đoạn 1 (Trends, Search Intent, Social Insight). Tổng ngân sách và tỷ lệ là GIẢ ĐỊNH (ô vàng) – nhóm cần xác nhận hoặc điều chỉnh. Chưa gồm chi phí KOC/Influencer (tổng hợp riêng ở Bước 8).</t>
  </si>
  <si>
    <t>1. Phân bổ theo kênh</t>
  </si>
  <si>
    <t>Kênh</t>
  </si>
  <si>
    <t>Tỷ lệ</t>
  </si>
  <si>
    <t>Ngân sách (VND/tháng)</t>
  </si>
  <si>
    <t>Vai trò</t>
  </si>
  <si>
    <t>Căn cứ</t>
  </si>
  <si>
    <t>Google Search Ads</t>
  </si>
  <si>
    <t>Bắt người đang có ý định mua</t>
  </si>
  <si>
    <t>Có dữ liệu CPC; 318 Commercial + 27 Transactional trong bộ 500 từ khóa; nhu cầu ổn định quanh năm</t>
  </si>
  <si>
    <t>Facebook / Meta Ads</t>
  </si>
  <si>
    <t>Remarketing, bài so sánh, chốt đơn qua Messenger</t>
  </si>
  <si>
    <t>Social Insight: Facebook hỗ trợ giải đáp và chuyển đổi; test TP.HCM trước</t>
  </si>
  <si>
    <t>TikTok Ads (boost video KOC)</t>
  </si>
  <si>
    <t>Tạo nhận thức, đẩy video test/review</t>
  </si>
  <si>
    <t>Social Insight: TikTok là kênh ưu tiên; nhóm 18–30 tuổi cần nội dung chứng minh</t>
  </si>
  <si>
    <t>Dự phòng / tối ưu</t>
  </si>
  <si>
    <t>Tăng ngân sách cho kênh hiệu quả nhất</t>
  </si>
  <si>
    <t>Dữ liệu CPC/CR thực tế chưa có, cần buffer để điều chỉnh</t>
  </si>
  <si>
    <t>TỔNG</t>
  </si>
  <si>
    <t>2. Chia ngân sách Google Search theo nhóm từ khóa (theo tỷ trọng lượt tìm của từ khóa Commercial/Transactional)</t>
  </si>
  <si>
    <t>Nhóm từ khóa</t>
  </si>
  <si>
    <t>Số từ khóa</t>
  </si>
  <si>
    <t>Lượt tìm/tháng</t>
  </si>
  <si>
    <t>Tỷ trọng</t>
  </si>
  <si>
    <t>Nhu cầu chung</t>
  </si>
  <si>
    <t>Dung tích</t>
  </si>
  <si>
    <t>Thiết kế / Phong cách</t>
  </si>
  <si>
    <t>Mua hàng / Giá</t>
  </si>
  <si>
    <t>Tính năng</t>
  </si>
  <si>
    <t>Chất liệu</t>
  </si>
  <si>
    <t>Thương hiệu</t>
  </si>
  <si>
    <t>Đối tượng sử dụng</t>
  </si>
  <si>
    <t>Lưu ý: nhóm "Nhu cầu chung" chiếm tỷ trọng lớn vì có từ khóa rất rộng như "bình giữ nhiệt" (50.000 lượt/tháng) – nên dồn ngân sách vào các từ khóa dung tích, chất liệu, mua hàng/giá có ý định rõ hơn.</t>
  </si>
  <si>
    <t>Với Meta và TikTok chưa có dữ liệu CPC từ Keyword Planner; số click của hai kênh này cần giả định riêng ở Bước 4.</t>
  </si>
  <si>
    <t>BƯỚC 2 – TÍNH AOV (Average Order Value)</t>
  </si>
  <si>
    <t>Công thức: AOV = Tổng doanh thu / Tổng số đơn hàng. Giá bán và giá vốn lấy từ Product Catalog (sheet B1). Cơ cấu đơn hàng (ô vàng) là GIẢ ĐỊNH trên 100 đơn vì chưa có dữ liệu bán thật – 3 kịch bản để thấy AOV thay đổi theo tỷ lệ bán combo.</t>
  </si>
  <si>
    <t>Sản phẩm / Combo</t>
  </si>
  <si>
    <t>KB1: ít combo (số đơn)</t>
  </si>
  <si>
    <t>KB2: cơ sở (số đơn)</t>
  </si>
  <si>
    <t>KB3: nhiều combo (số đơn)</t>
  </si>
  <si>
    <t>Bình 500ml</t>
  </si>
  <si>
    <t>Bình 750ml</t>
  </si>
  <si>
    <t>Bình 1000ml</t>
  </si>
  <si>
    <t>Combo 1 (500ml + Cọ)</t>
  </si>
  <si>
    <t>Combo 2 (750ml + Túi)</t>
  </si>
  <si>
    <t>Combo 3 (750ml + Cọ + Túi)</t>
  </si>
  <si>
    <t>Combo 4 (1000ml + Túi + Cọ)</t>
  </si>
  <si>
    <t>Tổng số đơn</t>
  </si>
  <si>
    <t>Tổng doanh thu (VND)</t>
  </si>
  <si>
    <t>Tổng giá vốn (VND)</t>
  </si>
  <si>
    <t>AOV (VND) = Doanh thu / Số đơn</t>
  </si>
  <si>
    <t>Margin bình quân</t>
  </si>
  <si>
    <t>Lợi nhuận gộp / đơn (VND)</t>
  </si>
  <si>
    <t>Kiểm tra: AOV trong khoảng giá bán</t>
  </si>
  <si>
    <t>Nhận xét (viết 2–3 câu):</t>
  </si>
  <si>
    <t>→ AOV so với giá bình lẻ (199–269k); combo kéo AOV lên bao nhiêu; ưu tiên đẩy Combo nào; mức AOV và margin dùng cho Bước 6–7.</t>
  </si>
  <si>
    <t>Chưa gồm phụ kiện cross-sell mua lẻ (túi, cọ, dây đeo, nắp, bộ vệ sinh) – nếu nhóm giả định có bán lẻ, thêm dòng mới vào bảng.</t>
  </si>
  <si>
    <t>Dữ liệu CPC – từ khóa Commercial + Transactional có dữ liệu bid</t>
  </si>
  <si>
    <t>Nguồn: Search_Intent_Result_SUA.xlsx (Google Keyword Planner, VN, 09/2025–08/2026). "Top of page bid" là mức giá thầu ước tính cho vị trí đầu trang (VND/click), KHÔNG phải CPC thực tế. Cột "Dùng" = 1 là từ khóa được đưa vào tính; 0 là loại (dịch vụ in/khắc tên, không phải mua bình).</t>
  </si>
  <si>
    <t>STT</t>
  </si>
  <si>
    <t>Keyword</t>
  </si>
  <si>
    <t>Search intent</t>
  </si>
  <si>
    <t>Topic group</t>
  </si>
  <si>
    <t>Bid thấp (VND)</t>
  </si>
  <si>
    <t>Bid cao (VND)</t>
  </si>
  <si>
    <t>Bid trung điểm (VND)</t>
  </si>
  <si>
    <t>Dùng (1/0)</t>
  </si>
  <si>
    <t>Bid thấp (dùng)</t>
  </si>
  <si>
    <t>Bid cao (dùng)</t>
  </si>
  <si>
    <t>Trung điểm (dùng)</t>
  </si>
  <si>
    <t>Thống kê CPC (chỉ dòng Dùng = 1)</t>
  </si>
  <si>
    <t>bình giữ nhiệt</t>
  </si>
  <si>
    <t>Commercial</t>
  </si>
  <si>
    <t>Số từ khóa dùng</t>
  </si>
  <si>
    <t>bình giữ nhiệt cao cấp</t>
  </si>
  <si>
    <t>Tổng lượt tìm/tháng</t>
  </si>
  <si>
    <t>bình nước giữ nhiệt</t>
  </si>
  <si>
    <t>Bid thấp – trung vị (VND)</t>
  </si>
  <si>
    <t>binh giu nhiet</t>
  </si>
  <si>
    <t>Trung điểm – trung vị (VND)</t>
  </si>
  <si>
    <t>binh giu nhiet starbuck</t>
  </si>
  <si>
    <t>Bid cao – trung vị (VND)</t>
  </si>
  <si>
    <t>bình giữ nhiệt 1 lít</t>
  </si>
  <si>
    <t>Trung điểm – trung bình (VND)</t>
  </si>
  <si>
    <t>bình giữ nhiệt 1.5 lít</t>
  </si>
  <si>
    <t>Trung điểm – bình quân gia quyền theo lượt tìm (VND)</t>
  </si>
  <si>
    <t>bình giữ nhiệt 1000ml</t>
  </si>
  <si>
    <t>bình giữ nhiệt 1500ml</t>
  </si>
  <si>
    <t>bình giữ nhiệt 1l</t>
  </si>
  <si>
    <t>bình giữ nhiệt 2 lít</t>
  </si>
  <si>
    <t>bình giữ nhiệt 2l</t>
  </si>
  <si>
    <t>bình giữ nhiệt 3 lít</t>
  </si>
  <si>
    <t>bình giữ nhiệt 300ml</t>
  </si>
  <si>
    <t>bình giữ nhiệt 304</t>
  </si>
  <si>
    <t>bình giữ nhiệt 316</t>
  </si>
  <si>
    <t>bình giữ nhiệt 5 lit</t>
  </si>
  <si>
    <t>bình giữ nhiệt 500ml</t>
  </si>
  <si>
    <t>bình giữ nhiệt cao cấp của mỹ</t>
  </si>
  <si>
    <t>bình giữ nhiệt cao cấp của đức</t>
  </si>
  <si>
    <t>bình giữ nhiệt cho bé</t>
  </si>
  <si>
    <t>bình giữ nhiệt cho bé gái</t>
  </si>
  <si>
    <t>bình giữ nhiệt chính hãng</t>
  </si>
  <si>
    <t>Transactional</t>
  </si>
  <si>
    <t>bình giữ nhiệt coffee</t>
  </si>
  <si>
    <t>bình giữ nhiệt cute</t>
  </si>
  <si>
    <t>bình giữ nhiệt có vòi</t>
  </si>
  <si>
    <t>bình giữ nhiệt có vòi rót</t>
  </si>
  <si>
    <t>bình giữ nhiệt có ống hút</t>
  </si>
  <si>
    <t>bình giữ nhiệt của mỹ</t>
  </si>
  <si>
    <t>bình giữ nhiệt giá rẻ</t>
  </si>
  <si>
    <t>bình giữ nhiệt highland</t>
  </si>
  <si>
    <t>bình giữ nhiệt highland coffee</t>
  </si>
  <si>
    <t>bình giữ nhiệt highlands</t>
  </si>
  <si>
    <t>bình giữ nhiệt highlands coffee</t>
  </si>
  <si>
    <t>bình giữ nhiệt hiển thị nhiệt độ</t>
  </si>
  <si>
    <t>bình giữ nhiệt hãng nào tốt</t>
  </si>
  <si>
    <t>bình giữ nhiệt inox</t>
  </si>
  <si>
    <t>bình giữ nhiệt inox 304</t>
  </si>
  <si>
    <t>bình giữ nhiệt inox 316</t>
  </si>
  <si>
    <t>bình giữ nhiệt khắc tên</t>
  </si>
  <si>
    <t>bình giữ nhiệt lock&amp;lock 1000ml chính hãng</t>
  </si>
  <si>
    <t>bình giữ nhiệt lock&amp;lock 500ml chính hãng</t>
  </si>
  <si>
    <t>bình giữ nhiệt loại nào tốt</t>
  </si>
  <si>
    <t>bình giữ nhiệt lõi sứ</t>
  </si>
  <si>
    <t>bình giữ nhiệt lớn</t>
  </si>
  <si>
    <t>bình giữ nhiệt mini</t>
  </si>
  <si>
    <t>bình giữ nhiệt mini 100ml</t>
  </si>
  <si>
    <t>bình giữ nhiệt mini 200ml</t>
  </si>
  <si>
    <t>bình giữ nhiệt mini cao cấp</t>
  </si>
  <si>
    <t>bình giữ nhiệt nhỏ</t>
  </si>
  <si>
    <t>bình giữ nhiệt nhựa</t>
  </si>
  <si>
    <t>bình giữ nhiệt nào tốt</t>
  </si>
  <si>
    <t>bình giữ nhiệt pha trà</t>
  </si>
  <si>
    <t>bình giữ nhiệt philip</t>
  </si>
  <si>
    <t>bình giữ nhiệt philips</t>
  </si>
  <si>
    <t>bình giữ nhiệt rạng đông</t>
  </si>
  <si>
    <t>bình giữ nhiệt rạng đông 1 lít</t>
  </si>
  <si>
    <t>bình giữ nhiệt rạng đông 2 lít</t>
  </si>
  <si>
    <t>bình giữ nhiệt stanley chính hãng</t>
  </si>
  <si>
    <t>bình giữ nhiệt starbuck chính hãng</t>
  </si>
  <si>
    <t>bình giữ nhiệt sunhouse</t>
  </si>
  <si>
    <t>bình giữ nhiệt thermoflask</t>
  </si>
  <si>
    <t>bình giữ nhiệt thể thao</t>
  </si>
  <si>
    <t>bình giữ nhiệt to</t>
  </si>
  <si>
    <t>bình giữ nhiệt tốt</t>
  </si>
  <si>
    <t>bình giữ nhiệt vacuum</t>
  </si>
  <si>
    <t>bình giữ nhiệt yeti chính hãng</t>
  </si>
  <si>
    <t>bình giữ nhiệt zebra</t>
  </si>
  <si>
    <t>bình giữ nhiệt đẹp</t>
  </si>
  <si>
    <t>bình inox giữ nhiệt</t>
  </si>
  <si>
    <t>bình nước giữ nhiệt 1 lít</t>
  </si>
  <si>
    <t>bình nước giữ nhiệt cao cấp</t>
  </si>
  <si>
    <t>bình nước giữ nhiệt cute</t>
  </si>
  <si>
    <t>bình nước giữ nhiệt có ống hút</t>
  </si>
  <si>
    <t>giá bình giữ nhiệt</t>
  </si>
  <si>
    <t>in bình giữ nhiệt</t>
  </si>
  <si>
    <t>in logo lên bình giữ nhiệt lock&amp;lock</t>
  </si>
  <si>
    <t>mua bình giữ nhiệt</t>
  </si>
  <si>
    <t>nắp bình giữ nhiệt</t>
  </si>
  <si>
    <t>starbuck bình giữ nhiệt</t>
  </si>
  <si>
    <t>zebra bình giữ nhiệt</t>
  </si>
  <si>
    <t>bình nấu nước giữ nhiệt</t>
  </si>
  <si>
    <t>bình pha trà giữ nhiệt</t>
  </si>
  <si>
    <t>bình pha trà giữ nhiệt có lưới lọc</t>
  </si>
  <si>
    <t>bình siêu tốc giữ nhiệt</t>
  </si>
  <si>
    <t>bình trà giữ nhiệt</t>
  </si>
  <si>
    <t>bình đun giữ nhiệt</t>
  </si>
  <si>
    <t>bình đun nước giữ nhiệt</t>
  </si>
  <si>
    <t>bình ủ trà giữ nhiệt</t>
  </si>
  <si>
    <t>ca nước giữ nhiệt</t>
  </si>
  <si>
    <t>giữ nhiệt</t>
  </si>
  <si>
    <t>ly giữ nhiệt 1200ml</t>
  </si>
  <si>
    <t>ly giữ nhiệt mini</t>
  </si>
  <si>
    <t>ly giữ nhiệt sunhouse</t>
  </si>
  <si>
    <t>ly nước giữ nhiệt</t>
  </si>
  <si>
    <t>phích giữ nhiệt</t>
  </si>
  <si>
    <t>phích nước giữ nhiệt</t>
  </si>
  <si>
    <t>binh giu nhiet 1 lit</t>
  </si>
  <si>
    <t>binh giu nhiet 1lit</t>
  </si>
  <si>
    <t>binh giu nhiet 2 lit</t>
  </si>
  <si>
    <t>binh giu nhiet clock and clock</t>
  </si>
  <si>
    <t>binh giu nhiet dien may xanh</t>
  </si>
  <si>
    <t>binh giu nhiet inox</t>
  </si>
  <si>
    <t>binh giu nhiet mini</t>
  </si>
  <si>
    <t>binh giu nhiet rang dong</t>
  </si>
  <si>
    <t>binh giu nhiet tot</t>
  </si>
  <si>
    <t>binh giu nhiet zebra</t>
  </si>
  <si>
    <t>binh nuoc giu nhiet</t>
  </si>
  <si>
    <t>bán bình giữ nhiệt</t>
  </si>
  <si>
    <t>bán bình nước giữ nhiệt</t>
  </si>
  <si>
    <t>bình giữ nhiệt 1 2 lít</t>
  </si>
  <si>
    <t>bình giữ nhiệt 1 5 lít</t>
  </si>
  <si>
    <t>bình giữ nhiệt 1 5l</t>
  </si>
  <si>
    <t>bình giữ nhiệt 1 lit</t>
  </si>
  <si>
    <t>bình giữ nhiệt 1 lít 2</t>
  </si>
  <si>
    <t>bình giữ nhiệt 1 lít rưỡi</t>
  </si>
  <si>
    <t>bình giữ nhiệt 1 lít rạng đông</t>
  </si>
  <si>
    <t>bình giữ nhiệt 1 lít tốt</t>
  </si>
  <si>
    <t>bình giữ nhiệt 1.5 l</t>
  </si>
  <si>
    <t>bình giữ nhiệt 1000ml chính hãng</t>
  </si>
  <si>
    <t>bình giữ nhiệt 100ml</t>
  </si>
  <si>
    <t>bình giữ nhiệt 1200ml</t>
  </si>
  <si>
    <t>bình giữ nhiệt 1l5</t>
  </si>
  <si>
    <t>bình giữ nhiệt 2 lít inox</t>
  </si>
  <si>
    <t>bình giữ nhiệt 2 lít rạng đông</t>
  </si>
  <si>
    <t>bình giữ nhiệt 2 ngăn</t>
  </si>
  <si>
    <t>bình giữ nhiệt 2000ml</t>
  </si>
  <si>
    <t>bình giữ nhiệt 200ml</t>
  </si>
  <si>
    <t>bình giữ nhiệt 24h</t>
  </si>
  <si>
    <t>bình giữ nhiệt 250ml</t>
  </si>
  <si>
    <t>bình giữ nhiệt 3 lít inox</t>
  </si>
  <si>
    <t>bình giữ nhiệt 330ml</t>
  </si>
  <si>
    <t>bình giữ nhiệt 350ml</t>
  </si>
  <si>
    <t>bình giữ nhiệt 3l</t>
  </si>
  <si>
    <t>bình giữ nhiệt 4 lít</t>
  </si>
  <si>
    <t>bình giữ nhiệt 400ml</t>
  </si>
  <si>
    <t>bình giữ nhiệt 48 tiếng</t>
  </si>
  <si>
    <t>bình giữ nhiệt 4l</t>
  </si>
  <si>
    <t>bình giữ nhiệt 5l</t>
  </si>
  <si>
    <t>bình giữ nhiệt 600ml</t>
  </si>
  <si>
    <t>bình giữ nhiệt 700ml</t>
  </si>
  <si>
    <t>bình giữ nhiệt 750ml</t>
  </si>
  <si>
    <t>bình giữ nhiệt 800ml</t>
  </si>
  <si>
    <t>bình giữ nhiệt aeon</t>
  </si>
  <si>
    <t>bình giữ nhiệt bear</t>
  </si>
  <si>
    <t>bình giữ nhiệt block and block</t>
  </si>
  <si>
    <t>bình giữ nhiệt bằng nhựa</t>
  </si>
  <si>
    <t>bình giữ nhiệt bằng sứ</t>
  </si>
  <si>
    <t>bình giữ nhiệt carez</t>
  </si>
  <si>
    <t>bình giữ nhiệt carlmann 500ml</t>
  </si>
  <si>
    <t>bình giữ nhiệt con voi</t>
  </si>
  <si>
    <t>bình giữ nhiệt cà phê</t>
  </si>
  <si>
    <t>bình giữ nhiệt có báo nhiệt độ</t>
  </si>
  <si>
    <t>bình giữ nhiệt có hiện nhiệt độ</t>
  </si>
  <si>
    <t>bình giữ nhiệt có lõi lọc trà</t>
  </si>
  <si>
    <t>bình giữ nhiệt có lưới lọc trà</t>
  </si>
  <si>
    <t>bình giữ nhiệt có lọc trà</t>
  </si>
  <si>
    <t>bình giữ nhiệt có nhiệt độ</t>
  </si>
  <si>
    <t>bình giữ nhiệt có nắp làm ly</t>
  </si>
  <si>
    <t>bình giữ nhiệt có tay cầm</t>
  </si>
  <si>
    <t>bình giữ nhiệt cắm điện</t>
  </si>
  <si>
    <t>bình giữ nhiệt cỡ lớn</t>
  </si>
  <si>
    <t>bình giữ nhiệt của đức</t>
  </si>
  <si>
    <t>bình giữ nhiệt dienmayxanh</t>
  </si>
  <si>
    <t>bình giữ nhiệt diller</t>
  </si>
  <si>
    <t>bình giữ nhiệt dmx</t>
  </si>
  <si>
    <t>bình giữ nhiệt dễ thương</t>
  </si>
  <si>
    <t xml:space="preserve">BƯỚC 8 – TỔNG HỢP CHI PHÍ SOCIAL / KOC </t>
  </si>
  <si>
    <t>Chú thích: Chữ xanh = số lấy từ Bước 1–6 / Product Catalog (không sửa). Ô VÀNG = GIẢ ĐỊNH ĐỀ XUẤT, chưa có dữ liệu thực tế, nhóm cần xác nhận hoặc điều chỉnh. Chữ đen = công thức, tự tính lại khi sửa ô vàng hoặc số đầu vào. Đơn vị: VND.</t>
  </si>
  <si>
    <t>A. Dữ liệu tham chiếu từ Bước 1–2 (sheet "Ngân sách" và Product Catalog)</t>
  </si>
  <si>
    <t>Giá trị (VND)</t>
  </si>
  <si>
    <t>Nguồn</t>
  </si>
  <si>
    <t>Tổng ngân sách quảng cáo / tháng</t>
  </si>
  <si>
    <t>Bước 1–2, sheet Ngân sách – giả định theo đề bài</t>
  </si>
  <si>
    <t>Google Search Ads (50%)</t>
  </si>
  <si>
    <t>Bước 1–2, sheet Ngân sách – không thuộc Social, ghi để đối chiếu</t>
  </si>
  <si>
    <t>Facebook / Meta Ads (25%)</t>
  </si>
  <si>
    <t>Bước 1–2, sheet Ngân sách</t>
  </si>
  <si>
    <t>TikTok Ads – boost video KOC (20%)</t>
  </si>
  <si>
    <t>Dự phòng / tối ưu quảng cáo (5%)</t>
  </si>
  <si>
    <t>Giá vốn Bình giữ nhiệt 500ml (BT500)</t>
  </si>
  <si>
    <t>Bước 1, Product Catalog (mã BT500)</t>
  </si>
  <si>
    <t>Kiểm tra: Google + Meta + TikTok + Dự phòng = Tổng ngân sách</t>
  </si>
  <si>
    <t>Phải hiện "Khớp" trước khi bàn giao</t>
  </si>
  <si>
    <t>B. Chi phí QUẢNG CÁO Social (trả cho nền tảng)</t>
  </si>
  <si>
    <t>Hạng mục</t>
  </si>
  <si>
    <t>Số lượng</t>
  </si>
  <si>
    <t>Đơn giá</t>
  </si>
  <si>
    <t>Thành tiền (VND/tháng)</t>
  </si>
  <si>
    <t>Facebook / Meta Ads (remarketing, bài so sánh, chốt đơn Messenger)</t>
  </si>
  <si>
    <t>Lấy từ Bước 1–2. Chưa có CPC Meta nên số click kênh này giả định riêng ở Bước 4.</t>
  </si>
  <si>
    <t>TikTok Ads (boost video KOC/review)</t>
  </si>
  <si>
    <t>Lấy từ Bước 1–2. Dùng để đẩy video của KOC ở mục C, tránh tính trùng với phí KOC.</t>
  </si>
  <si>
    <t>Tổng quảng cáo Social (B)</t>
  </si>
  <si>
    <t>C. Chi phí KOC / INFLUENCER (trả cho người sáng tạo nội dung, KHÔNG phải phí nền tảng)</t>
  </si>
  <si>
    <t>Đơn giá (VND)</t>
  </si>
  <si>
    <t>Thành tiền (VND)</t>
  </si>
  <si>
    <t>Phí đăng video của KOC (micro-KOC, TikTok/Facebook)</t>
  </si>
  <si>
    <t>GIẢ ĐỊNH đề xuất: 8 KOC × 1 video, 500.000đ/video. Chưa có báo giá thực, cần hỏi giá KOC hoặc nhóm thống nhất.</t>
  </si>
  <si>
    <t>Sản phẩm seeding gửi KOC (Bình 500ml, tính theo giá vốn)</t>
  </si>
  <si>
    <t>Số lượng = số KOC ở dòng trên. Đơn giá = giá vốn BT500 trong Product Catalog (chi phí thật của nhóm, không phải giá bán).</t>
  </si>
  <si>
    <t>Phí vận chuyển sản phẩm seeding</t>
  </si>
  <si>
    <t>GIẢ ĐỊNH đề xuất: 30.000đ/đơn gửi. Cần đối chiếu biểu phí đơn vị vận chuyển.</t>
  </si>
  <si>
    <t>Tổng KOC / Influencer cố định (C)</t>
  </si>
  <si>
    <t>D. Chi phí TRIỂN KHAI khác</t>
  </si>
  <si>
    <t>Sản xuất nội dung (quay, dựng video, ảnh sản phẩm) – gói tháng</t>
  </si>
  <si>
    <t>GIẢ ĐỊNH đề xuất: 2.000.000đ/tháng (nếu nhóm tự quay thì có thể giảm). Cần nhóm xác nhận.</t>
  </si>
  <si>
    <t>Tổng triển khai khác (D)</t>
  </si>
  <si>
    <t>E. Dữ liệu tham chiếu từ Bước 2, 3, 4, 5, 6 (dùng để tính hoa hồng KOC và CPO)</t>
  </si>
  <si>
    <t>AOV cơ sở – KB2 (VND/đơn)</t>
  </si>
  <si>
    <t>Bước 2, mục 2.3 (KB2 – cơ sở): 25.920.000 đ / 100 đơn. Cần dùng cùng bản giá combo đã chốt ở Bước 1 (xem ghi chú mục I).</t>
  </si>
  <si>
    <t>Lãi gộp bình quân/đơn – KB2 (VND/đơn)</t>
  </si>
  <si>
    <t>Bước 2, mục 2.3 (KB2): 13.335.000 đ / 100 đơn. Là lãi gộp trước chi phí quảng cáo, vận chuyển, phí nền tảng.</t>
  </si>
  <si>
    <t>CR – tỷ lệ chuyển đổi giả định</t>
  </si>
  <si>
    <t>Bước 3 – giả định minh họa theo đề bài, chưa đo từ website thực tế.</t>
  </si>
  <si>
    <t>Click TikTok/tháng – Phạm vi B, kịch bản Cơ sở</t>
  </si>
  <si>
    <t>Bước 4, mục 4.4: 6.000.000 / CPC tham chiếu 4.000 đ/click.</t>
  </si>
  <si>
    <t>Tổng click/tháng – Phạm vi B (Google + Meta + TikTok), Cơ sở</t>
  </si>
  <si>
    <t>Bước 4, mục 4.4: ngân sách 28.500.000 đ; CPC Meta/TikTok là tham chiếu thị trường.</t>
  </si>
  <si>
    <t>Số đơn dự báo/tháng – Phạm vi B, Cơ sở</t>
  </si>
  <si>
    <t>Bước 5, mục 5.2: 14.272 × 2,5% = 356,8 → khoảng 357 đơn/tháng.</t>
  </si>
  <si>
    <t>Ước tính</t>
  </si>
  <si>
    <t>Chi phí quảng cáo 3 kênh quy đổi thành click (Google + Meta + TikTok)</t>
  </si>
  <si>
    <t>Bước 4/6: 28.500.000 đ, không gồm dự phòng 1.500.000 đ.</t>
  </si>
  <si>
    <t>CPO quảng cáo Phạm vi B theo Bước 6 (VND/đơn)</t>
  </si>
  <si>
    <t>Bước 6, mục 6.2: 28.500.000 / 357 = 79.832 đ/đơn.</t>
  </si>
  <si>
    <t>Kiểm tra: CPO tính lại ở đây = CPO Bước 6</t>
  </si>
  <si>
    <t>F. Chi phí BIẾN ĐỔI – Hoa hồng KOC/affiliate (tính từ Số đơn ở Bước 5 và AOV ở Bước 2)</t>
  </si>
  <si>
    <t>Thành tiền / Số lượng</t>
  </si>
  <si>
    <t>Cách tính / Giả định</t>
  </si>
  <si>
    <t>Tỷ lệ hoa hồng KOC/affiliate trên doanh thu đơn có mã KOC</t>
  </si>
  <si>
    <t>GIẢ ĐỊNH đề xuất: 10% doanh thu đơn có mã KOC. Cần thay bằng mức thỏa thuận thực với KOC.</t>
  </si>
  <si>
    <t>Tỷ lệ đơn có mã KOC trên tổng đơn dự báo Phạm vi B</t>
  </si>
  <si>
    <t>GIẢ ĐỊNH đề xuất: 10%, xấp xỉ tỷ trọng click TikTok ở dòng 3 vì video KOC được boost qua TikTok. Cần thay bằng dữ liệu mã KOC thực.</t>
  </si>
  <si>
    <t>Tham chiếu: tỷ trọng click TikTok trong tổng click Phạm vi B</t>
  </si>
  <si>
    <t>Chỉ để đối chiếu dòng 2; không dùng trong phép tính.</t>
  </si>
  <si>
    <t>Tham chiếu</t>
  </si>
  <si>
    <t>Số đơn có mã KOC/tháng</t>
  </si>
  <si>
    <t>Tính bằng: số đơn Phạm vi B (mục E) × tỷ lệ đơn có mã KOC.</t>
  </si>
  <si>
    <t>Công thức</t>
  </si>
  <si>
    <t>Doanh thu đơn có mã KOC (VND/tháng)</t>
  </si>
  <si>
    <t>Tính bằng: số đơn có mã KOC × AOV cơ sở.</t>
  </si>
  <si>
    <t>Hoa hồng KOC – kịch bản cơ sở (VND/tháng)</t>
  </si>
  <si>
    <t>Tính bằng: tỷ lệ hoa hồng × doanh thu đơn có mã KOC. Số đưa vào bảng tổng hợp mục G.</t>
  </si>
  <si>
    <t>Hoa hồng KOC – cận trên: 100% đơn Phạm vi B có mã KOC (VND/tháng)</t>
  </si>
  <si>
    <t>Chỉ để thấy mức rủi ro tối đa; không đưa vào tổng cơ sở.</t>
  </si>
  <si>
    <t>Hoa hồng KOC bình quân trên mỗi đơn của Phạm vi B (VND/đơn)</t>
  </si>
  <si>
    <t>Dùng để cộng vào CPO ở mục H; giữ nguyên ở mọi kịch bản CPC (giả định tỷ lệ đơn có mã KOC không đổi).</t>
  </si>
  <si>
    <t>G. BẢNG TỔNG HỢP CHI PHÍ SOCIAL/KOC – BÀN GIAO TV1 (Phương Kiều)</t>
  </si>
  <si>
    <t>Khoản mục</t>
  </si>
  <si>
    <t>% / Tổng</t>
  </si>
  <si>
    <t>Quảng cáo Social (Meta + TikTok)</t>
  </si>
  <si>
    <t>Chi phí quảng cáo – trả cho nền tảng</t>
  </si>
  <si>
    <t>KOC / Influencer cố định</t>
  </si>
  <si>
    <t>Phí KOC + seeding + vận chuyển</t>
  </si>
  <si>
    <t>Triển khai khác</t>
  </si>
  <si>
    <t>Sản xuất nội dung</t>
  </si>
  <si>
    <t>Dự phòng KOC/triển khai</t>
  </si>
  <si>
    <t>GIẢ ĐỊNH đề xuất: 10% của KOC + triển khai (mục C và D)</t>
  </si>
  <si>
    <t>TỔNG CHI PHÍ SOCIAL/KOC (chưa gồm hoa hồng)</t>
  </si>
  <si>
    <t>Hoa hồng KOC – biến phí, kịch bản cơ sở</t>
  </si>
  <si>
    <t>Từ mục F. Cận trên xem ô E53.</t>
  </si>
  <si>
    <t>TỔNG CHI PHÍ SOCIAL/KOC (đã gồm hoa hồng cơ sở)</t>
  </si>
  <si>
    <t>Google Search Ads (tham chiếu)</t>
  </si>
  <si>
    <t>Không thuộc Social, ghi để TV1 cộng vào tổng chi phí</t>
  </si>
  <si>
    <t>Dự phòng / tối ưu quảng cáo (tham chiếu)</t>
  </si>
  <si>
    <t>Từ Bước 1–2; chưa quy đổi thành click</t>
  </si>
  <si>
    <t>TỔNG CHI PHÍ MARKETING TẠM TÍNH (chưa gồm hoa hồng KOC)</t>
  </si>
  <si>
    <t>Gồm ngân sách quảng cáo 30.000.000 đ + KOC, triển khai, dự phòng KOC.</t>
  </si>
  <si>
    <t>TỔNG CHI PHÍ MARKETING (đã gồm hoa hồng KOC cơ sở)</t>
  </si>
  <si>
    <t>Dùng làm tử số cho CAC/CPO khi tính theo toàn bộ chi phí marketing.</t>
  </si>
  <si>
    <t>Chi phí KOC + triển khai + dự phòng so với ngân sách quảng cáo</t>
  </si>
  <si>
    <t>Chi phí nằm ngoài ngân sách quảng cáo 30 triệu, tính theo tỷ lệ.</t>
  </si>
  <si>
    <t>H. Tác động lên CPO và so sánh với lãi gộp/đơn – Phạm vi B (liên kết Bước 4–6, số tham khảo)</t>
  </si>
  <si>
    <t>Kịch bản CPC (Bước 4–5)</t>
  </si>
  <si>
    <t>Đơn/tháng</t>
  </si>
  <si>
    <t>CPO quảng cáo (Bước 6)</t>
  </si>
  <si>
    <t>CPO đầy đủ (VND/đơn)</t>
  </si>
  <si>
    <t>Nhận xét</t>
  </si>
  <si>
    <t>Lãi gộp/đơn trừ CPO đầy đủ</t>
  </si>
  <si>
    <t>CPC thấp – cận trên lý thuyết</t>
  </si>
  <si>
    <t>Cơ sở</t>
  </si>
  <si>
    <t>CPC cao</t>
  </si>
  <si>
    <t>Thận trọng</t>
  </si>
  <si>
    <t>Số đơn tối thiểu/tháng để lãi gộp bù chi phí quảng cáo + KOC</t>
  </si>
  <si>
    <t>CPO đầy đủ = (28.500.000 đ quảng cáo + chi phí KOC cố định + triển khai + dự phòng KOC) / số đơn + hoa hồng KOC bình quân trên mỗi đơn. Chi phí KOC là chi phí cố định nên không giảm khi số đơn thấp; vì vậy CPO đầy đủ tăng nhanh ở kịch bản CPC cao và Thận trọng.</t>
  </si>
  <si>
    <t>I. Giả định, rủi ro và việc cần nhóm xác nhận trước khi chốt</t>
  </si>
  <si>
    <t>• Số lượng KOC, phí/video, phí vận chuyển, chi phí sản xuất nội dung, tỷ lệ hoa hồng, tỷ lệ đơn có mã KOC và tỷ lệ dự phòng đều là giả định đề xuất (ô vàng). Khi có báo giá thực tế thì thay vào, các mục F, G, H tự tính lại.</t>
  </si>
  <si>
    <t>• Nếu kế hoạch KHÔNG dùng KOC/Influencer thì đặt Số lượng ở mục C (ô C23) và mục D (ô C30) về 0 và tỷ lệ đơn có mã KOC (ô D48) về 0; chi phí Social chỉ còn mục B.</t>
  </si>
  <si>
    <t>• TikTok Ads (mục B) là tiền boost video, còn phí trả KOC nằm ở mục C. Hai khoản này khác nhau, không cộng trùng. Ngân sách quảng cáo 30.000.000 đ không gồm chi phí KOC, nên tổng chi phí marketing ở mục G cao hơn ngân sách quảng cáo.</t>
  </si>
  <si>
    <t>• Hoa hồng KOC là biến phí: đã tính ở mục F từ Số đơn (Bước 5) và AOV (Bước 2). Mức cơ sở dựa trên giả định 10% đơn có mã KOC; mức cận trên (ô E53) giả định mọi đơn của Phạm vi B đều có mã KOC.</t>
  </si>
  <si>
    <t>• Số click Meta/TikTok lấy từ Bước 4 (CPC tham chiếu thị trường: Meta 2.750 đ, TikTok 4.000 đ ở kịch bản Cơ sở, nguồn thứ cấp), nên các kết quả ở mục E và H cũng chỉ là ước tính cần kiểm chứng khi chạy thử.</t>
  </si>
  <si>
    <t>• Cần thống nhất giá combo trước khi chốt AOV: Bước 1–2 (Buoc_1-7.docx) dùng Combo 3 = 329.000 đ và Combo 4 = 369.000 đ (AOV KB2 = 259.200 đ); sheet B1 trong file Buoc_4_Pthuy.xlsx và Bước_5.docx còn bản cũ 349.000 đ / 389.000 đ (AOV KB2 = 263.200 đ). File này dùng 259.200 đ.</t>
  </si>
  <si>
    <t>• Chưa tính: phí nền tảng/thanh toán, vận chuyển đơn khách, đóng gói, hoàn-hủy và chi phí vận hành khác. Các khoản này cần được cộng ở bước tổng hợp cuối trước khi kết luận lợi nhuận.</t>
  </si>
  <si>
    <t>J. ĐẦU RA BƯỚC 8 – THẢO BÀN GIAO CHO TV1 (Phương Kiều)</t>
  </si>
  <si>
    <t>Chỉ tiêu</t>
  </si>
  <si>
    <t>Cách dùng</t>
  </si>
  <si>
    <t>Tổng chi phí Social/KOC, chưa gồm hoa hồng</t>
  </si>
  <si>
    <t>Cộng vào tổng chi phí marketing ở bước tổng hợp.</t>
  </si>
  <si>
    <t>Hoa hồng KOC – cơ sở (cận trên ở ô E53)</t>
  </si>
  <si>
    <t>Biến phí; cộng thêm khi tính CAC/CPO đầy đủ.</t>
  </si>
  <si>
    <t>Tổng chi phí marketing tạm tính, chưa gồm hoa hồng</t>
  </si>
  <si>
    <t>Tử số CAC/CPO theo toàn bộ chi phí marketing (gồm dự phòng quảng cáo).</t>
  </si>
  <si>
    <t>CPO đầy đủ – kịch bản Cơ sở, Phạm vi B</t>
  </si>
  <si>
    <t>So với lãi gộp/đơn 133.350 đ ở Bước 2.</t>
  </si>
  <si>
    <t>Điểm hòa vốn ở mức lãi gộp; chưa tính chi phí khác.</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</si>
</sst>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
    <numFmt numFmtId="180" formatCode="#,##0.0"/>
  </numFmts>
  <fonts count="39">
    <font>
      <sz val="11"/>
      <color theme="1"/>
      <name val="Calibri"/>
      <charset val="1"/>
    </font>
    <font>
      <b/>
      <sz val="14"/>
      <color rgb="FF1F4E79"/>
      <name val="Arial"/>
      <charset val="1"/>
    </font>
    <font>
      <sz val="10"/>
      <color rgb="FF7F6000"/>
      <name val="Arial"/>
      <charset val="1"/>
    </font>
    <font>
      <b/>
      <sz val="11"/>
      <color rgb="FF1F4E79"/>
      <name val="Arial"/>
      <charset val="1"/>
    </font>
    <font>
      <b/>
      <sz val="10"/>
      <color rgb="FFFFFFFF"/>
      <name val="Arial"/>
      <charset val="1"/>
    </font>
    <font>
      <sz val="10"/>
      <color rgb="FF000000"/>
      <name val="Arial"/>
      <charset val="1"/>
    </font>
    <font>
      <sz val="10"/>
      <color rgb="FF0000FF"/>
      <name val="Arial"/>
      <charset val="1"/>
    </font>
    <font>
      <b/>
      <sz val="10"/>
      <color rgb="FF000000"/>
      <name val="Arial"/>
      <charset val="1"/>
    </font>
    <font>
      <sz val="10"/>
      <name val="Arial"/>
      <charset val="1"/>
    </font>
    <font>
      <b/>
      <sz val="12"/>
      <name val="Arial"/>
      <charset val="134"/>
    </font>
    <font>
      <i/>
      <sz val="10"/>
      <name val="Arial"/>
      <charset val="134"/>
    </font>
    <font>
      <b/>
      <sz val="10"/>
      <color rgb="FFFFFFFF"/>
      <name val="Arial"/>
      <charset val="134"/>
    </font>
    <font>
      <b/>
      <sz val="10"/>
      <name val="Arial"/>
      <charset val="134"/>
    </font>
    <font>
      <sz val="10"/>
      <name val="Arial"/>
      <charset val="134"/>
    </font>
    <font>
      <sz val="10"/>
      <color rgb="FF0000FF"/>
      <name val="Arial"/>
      <charset val="134"/>
    </font>
    <font>
      <b/>
      <sz val="13"/>
      <name val="Arial"/>
      <charset val="134"/>
    </font>
    <font>
      <sz val="10"/>
      <color rgb="FF008000"/>
      <name val="Arial"/>
      <charset val="134"/>
    </font>
    <font>
      <i/>
      <sz val="10"/>
      <color rgb="FF7F7F7F"/>
      <name val="Arial"/>
      <charset val="134"/>
    </font>
    <font>
      <i/>
      <sz val="10"/>
      <color rgb="FF595959"/>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FFF2CC"/>
        <bgColor rgb="FFF2F2F2"/>
      </patternFill>
    </fill>
    <fill>
      <patternFill patternType="solid">
        <fgColor rgb="FFDDEBF7"/>
        <bgColor rgb="FFF2F2F2"/>
      </patternFill>
    </fill>
    <fill>
      <patternFill patternType="solid">
        <fgColor rgb="FF1F4E79"/>
        <bgColor rgb="FF003366"/>
      </patternFill>
    </fill>
    <fill>
      <patternFill patternType="solid">
        <fgColor rgb="FFF2F2F2"/>
        <bgColor rgb="FFDDEBF7"/>
      </patternFill>
    </fill>
    <fill>
      <patternFill patternType="solid">
        <fgColor rgb="FFFFFF00"/>
        <bgColor rgb="FFFFFF00"/>
      </patternFill>
    </fill>
    <fill>
      <patternFill patternType="solid">
        <fgColor rgb="FF1F3864"/>
        <bgColor rgb="FF333333"/>
      </patternFill>
    </fill>
    <fill>
      <patternFill patternType="solid">
        <fgColor rgb="FFF2F2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177"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9" borderId="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4"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8" fillId="10" borderId="6" applyNumberFormat="0" applyAlignment="0" applyProtection="0">
      <alignment vertical="center"/>
    </xf>
    <xf numFmtId="0" fontId="29" fillId="11" borderId="7" applyNumberFormat="0" applyAlignment="0" applyProtection="0">
      <alignment vertical="center"/>
    </xf>
    <xf numFmtId="0" fontId="30" fillId="11" borderId="6" applyNumberFormat="0" applyAlignment="0" applyProtection="0">
      <alignment vertical="center"/>
    </xf>
    <xf numFmtId="0" fontId="31" fillId="12" borderId="8" applyNumberFormat="0" applyAlignment="0" applyProtection="0">
      <alignment vertical="center"/>
    </xf>
    <xf numFmtId="0" fontId="32" fillId="0" borderId="9" applyNumberFormat="0" applyFill="0" applyAlignment="0" applyProtection="0">
      <alignment vertical="center"/>
    </xf>
    <xf numFmtId="0" fontId="33" fillId="0" borderId="10" applyNumberFormat="0" applyFill="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cellStyleXfs>
  <cellXfs count="68">
    <xf numFmtId="0" fontId="0" fillId="0" borderId="0" xfId="0"/>
    <xf numFmtId="0" fontId="1" fillId="0" borderId="0" xfId="0" applyFont="1" applyBorder="1" applyAlignment="1">
      <alignment vertical="center" wrapText="1"/>
    </xf>
    <xf numFmtId="0" fontId="2" fillId="2" borderId="0" xfId="0" applyFont="1" applyFill="1" applyBorder="1" applyAlignment="1">
      <alignment vertical="center" wrapText="1"/>
    </xf>
    <xf numFmtId="0" fontId="3" fillId="3" borderId="0" xfId="0" applyFont="1" applyFill="1" applyBorder="1" applyAlignment="1">
      <alignment vertical="center" wrapText="1"/>
    </xf>
    <xf numFmtId="0" fontId="4" fillId="4"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178" fontId="6" fillId="0" borderId="1" xfId="0" applyNumberFormat="1" applyFont="1" applyBorder="1" applyAlignment="1">
      <alignment vertical="center"/>
    </xf>
    <xf numFmtId="0" fontId="5" fillId="0" borderId="1" xfId="0" applyFont="1" applyBorder="1" applyAlignment="1">
      <alignment vertical="center" wrapText="1"/>
    </xf>
    <xf numFmtId="0" fontId="7" fillId="5" borderId="1" xfId="0" applyFont="1" applyFill="1" applyBorder="1" applyAlignment="1">
      <alignment vertical="center" wrapText="1"/>
    </xf>
    <xf numFmtId="0" fontId="5" fillId="5" borderId="1" xfId="0" applyFont="1" applyFill="1" applyBorder="1" applyAlignment="1">
      <alignment vertical="center"/>
    </xf>
    <xf numFmtId="0" fontId="7" fillId="5" borderId="1" xfId="0" applyFont="1" applyFill="1" applyBorder="1" applyAlignment="1">
      <alignment horizontal="center" vertical="center"/>
    </xf>
    <xf numFmtId="178" fontId="5" fillId="0" borderId="1" xfId="0" applyNumberFormat="1" applyFont="1" applyBorder="1" applyAlignment="1">
      <alignment vertical="center"/>
    </xf>
    <xf numFmtId="0" fontId="7" fillId="5" borderId="1" xfId="0" applyFont="1" applyFill="1" applyBorder="1" applyAlignment="1">
      <alignment vertical="center"/>
    </xf>
    <xf numFmtId="178" fontId="7" fillId="5" borderId="1" xfId="0" applyNumberFormat="1" applyFont="1" applyFill="1" applyBorder="1" applyAlignment="1">
      <alignment vertical="center"/>
    </xf>
    <xf numFmtId="178" fontId="5" fillId="6" borderId="1" xfId="0" applyNumberFormat="1" applyFont="1" applyFill="1" applyBorder="1" applyAlignment="1">
      <alignment horizontal="center" vertical="center"/>
    </xf>
    <xf numFmtId="178" fontId="5" fillId="6" borderId="1" xfId="0" applyNumberFormat="1" applyFont="1" applyFill="1" applyBorder="1" applyAlignment="1">
      <alignment vertical="center"/>
    </xf>
    <xf numFmtId="178" fontId="5" fillId="0" borderId="1" xfId="0" applyNumberFormat="1" applyFont="1" applyBorder="1" applyAlignment="1">
      <alignment horizontal="center" vertical="center"/>
    </xf>
    <xf numFmtId="178" fontId="5" fillId="0" borderId="1" xfId="0" applyNumberFormat="1" applyFont="1" applyBorder="1" applyAlignment="1">
      <alignment horizontal="right" vertical="center"/>
    </xf>
    <xf numFmtId="0" fontId="5" fillId="0" borderId="1" xfId="0" applyFont="1" applyBorder="1" applyAlignment="1">
      <alignment horizontal="right" vertical="center"/>
    </xf>
    <xf numFmtId="178" fontId="6" fillId="0" borderId="1" xfId="0" applyNumberFormat="1" applyFont="1" applyBorder="1" applyAlignment="1">
      <alignment horizontal="right" vertical="center"/>
    </xf>
    <xf numFmtId="0" fontId="5" fillId="0" borderId="1" xfId="0" applyFont="1" applyBorder="1" applyAlignment="1">
      <alignment horizontal="center" vertical="center" wrapText="1"/>
    </xf>
    <xf numFmtId="179" fontId="6" fillId="0" borderId="1" xfId="0" applyNumberFormat="1" applyFont="1" applyBorder="1" applyAlignment="1">
      <alignment horizontal="right" vertical="center"/>
    </xf>
    <xf numFmtId="0" fontId="5" fillId="5" borderId="1" xfId="0" applyFont="1" applyFill="1" applyBorder="1" applyAlignment="1">
      <alignment vertical="center" wrapText="1"/>
    </xf>
    <xf numFmtId="178" fontId="7" fillId="5" borderId="1" xfId="0" applyNumberFormat="1" applyFont="1" applyFill="1" applyBorder="1" applyAlignment="1">
      <alignment horizontal="center" vertical="center"/>
    </xf>
    <xf numFmtId="179" fontId="5" fillId="6" borderId="1" xfId="0" applyNumberFormat="1" applyFont="1" applyFill="1" applyBorder="1" applyAlignment="1">
      <alignment horizontal="right" vertical="center"/>
    </xf>
    <xf numFmtId="179" fontId="5" fillId="0" borderId="1" xfId="0" applyNumberFormat="1" applyFont="1" applyBorder="1" applyAlignment="1">
      <alignment horizontal="right" vertical="center"/>
    </xf>
    <xf numFmtId="180" fontId="5" fillId="0" borderId="1" xfId="0" applyNumberFormat="1" applyFont="1" applyBorder="1" applyAlignment="1">
      <alignment horizontal="right" vertical="center"/>
    </xf>
    <xf numFmtId="178" fontId="5" fillId="5" borderId="1" xfId="0" applyNumberFormat="1" applyFont="1" applyFill="1" applyBorder="1" applyAlignment="1">
      <alignment horizontal="right" vertical="center"/>
    </xf>
    <xf numFmtId="0" fontId="5" fillId="5" borderId="1" xfId="0" applyFont="1" applyFill="1" applyBorder="1" applyAlignment="1">
      <alignment horizontal="right" vertical="center"/>
    </xf>
    <xf numFmtId="178" fontId="7" fillId="5" borderId="1" xfId="0" applyNumberFormat="1" applyFont="1" applyFill="1" applyBorder="1" applyAlignment="1">
      <alignment horizontal="right" vertical="center"/>
    </xf>
    <xf numFmtId="0" fontId="5" fillId="5" borderId="1" xfId="0" applyFont="1" applyFill="1" applyBorder="1" applyAlignment="1">
      <alignment horizontal="center" vertical="center" wrapText="1"/>
    </xf>
    <xf numFmtId="179" fontId="5" fillId="0" borderId="1" xfId="0" applyNumberFormat="1" applyFont="1" applyBorder="1" applyAlignment="1">
      <alignment horizontal="center" vertical="center" wrapText="1"/>
    </xf>
    <xf numFmtId="179" fontId="7" fillId="5" borderId="1" xfId="0" applyNumberFormat="1" applyFont="1" applyFill="1" applyBorder="1" applyAlignment="1">
      <alignment horizontal="center" vertical="center"/>
    </xf>
    <xf numFmtId="0" fontId="8" fillId="0" borderId="0" xfId="0" applyFont="1" applyBorder="1" applyAlignment="1">
      <alignment vertical="top" wrapText="1"/>
    </xf>
    <xf numFmtId="0" fontId="9" fillId="0" borderId="0" xfId="0" applyFont="1"/>
    <xf numFmtId="0" fontId="10" fillId="0" borderId="0" xfId="0" applyFont="1" applyAlignment="1">
      <alignment vertical="top" wrapText="1"/>
    </xf>
    <xf numFmtId="0" fontId="11" fillId="7" borderId="2" xfId="0" applyFont="1" applyFill="1" applyBorder="1" applyAlignment="1">
      <alignment horizontal="center" vertical="center" wrapText="1"/>
    </xf>
    <xf numFmtId="0" fontId="11" fillId="7" borderId="2" xfId="0" applyFont="1" applyFill="1" applyBorder="1" applyAlignment="1">
      <alignment horizontal="center" wrapText="1"/>
    </xf>
    <xf numFmtId="0" fontId="12" fillId="0" borderId="0" xfId="0" applyFont="1"/>
    <xf numFmtId="0" fontId="13" fillId="0" borderId="2" xfId="0" applyFont="1" applyBorder="1"/>
    <xf numFmtId="3" fontId="14" fillId="0" borderId="2" xfId="0" applyNumberFormat="1" applyFont="1" applyBorder="1"/>
    <xf numFmtId="3" fontId="13" fillId="0" borderId="2" xfId="0" applyNumberFormat="1" applyFont="1" applyBorder="1"/>
    <xf numFmtId="0" fontId="14" fillId="0" borderId="2" xfId="0" applyFont="1" applyBorder="1"/>
    <xf numFmtId="1" fontId="13" fillId="0" borderId="2" xfId="0" applyNumberFormat="1" applyFont="1" applyBorder="1"/>
    <xf numFmtId="0" fontId="15" fillId="0" borderId="0" xfId="0" applyFont="1"/>
    <xf numFmtId="3" fontId="16" fillId="0" borderId="2" xfId="0" applyNumberFormat="1" applyFont="1" applyBorder="1"/>
    <xf numFmtId="3" fontId="14" fillId="6" borderId="2" xfId="0" applyNumberFormat="1" applyFont="1" applyFill="1" applyBorder="1"/>
    <xf numFmtId="3" fontId="12" fillId="0" borderId="0" xfId="0" applyNumberFormat="1" applyFont="1"/>
    <xf numFmtId="0" fontId="13" fillId="0" borderId="0" xfId="0" applyFont="1"/>
    <xf numFmtId="3" fontId="13" fillId="0" borderId="0" xfId="0" applyNumberFormat="1" applyFont="1"/>
    <xf numFmtId="3" fontId="12" fillId="8" borderId="0" xfId="0" applyNumberFormat="1" applyFont="1" applyFill="1"/>
    <xf numFmtId="179" fontId="13" fillId="0" borderId="0" xfId="0" applyNumberFormat="1" applyFont="1"/>
    <xf numFmtId="49" fontId="13" fillId="0" borderId="0" xfId="0" applyNumberFormat="1" applyFont="1"/>
    <xf numFmtId="0" fontId="17" fillId="0" borderId="0" xfId="0" applyFont="1"/>
    <xf numFmtId="0" fontId="13" fillId="0" borderId="2" xfId="0" applyFont="1" applyBorder="1" applyAlignment="1">
      <alignment vertical="center" wrapText="1"/>
    </xf>
    <xf numFmtId="9" fontId="14" fillId="6" borderId="2" xfId="0" applyNumberFormat="1" applyFont="1" applyFill="1" applyBorder="1" applyAlignment="1">
      <alignment vertical="center" wrapText="1"/>
    </xf>
    <xf numFmtId="3" fontId="13" fillId="0" borderId="2" xfId="0" applyNumberFormat="1" applyFont="1" applyBorder="1" applyAlignment="1">
      <alignment vertical="center" wrapText="1"/>
    </xf>
    <xf numFmtId="0" fontId="12" fillId="0" borderId="2" xfId="0" applyFont="1" applyBorder="1"/>
    <xf numFmtId="9" fontId="12" fillId="0" borderId="2" xfId="0" applyNumberFormat="1" applyFont="1" applyBorder="1"/>
    <xf numFmtId="3" fontId="12" fillId="0" borderId="2" xfId="0" applyNumberFormat="1" applyFont="1" applyBorder="1"/>
    <xf numFmtId="1" fontId="16" fillId="0" borderId="2" xfId="0" applyNumberFormat="1" applyFont="1" applyBorder="1"/>
    <xf numFmtId="179" fontId="13" fillId="0" borderId="2" xfId="0" applyNumberFormat="1" applyFont="1" applyBorder="1"/>
    <xf numFmtId="1" fontId="12" fillId="0" borderId="2" xfId="0" applyNumberFormat="1" applyFont="1" applyBorder="1"/>
    <xf numFmtId="0" fontId="18" fillId="0" borderId="0" xfId="0" applyFont="1" applyAlignment="1">
      <alignment vertical="top" wrapText="1"/>
    </xf>
    <xf numFmtId="3" fontId="16" fillId="0" borderId="2" xfId="0" applyNumberFormat="1" applyFont="1" applyBorder="1" applyAlignment="1">
      <alignment vertical="center" wrapText="1"/>
    </xf>
    <xf numFmtId="179" fontId="14" fillId="6" borderId="2" xfId="0" applyNumberFormat="1" applyFont="1" applyFill="1" applyBorder="1" applyAlignment="1">
      <alignment vertical="center" wrapText="1"/>
    </xf>
    <xf numFmtId="1" fontId="16" fillId="0" borderId="2" xfId="0" applyNumberFormat="1"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7F7F7F"/>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59595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workbookViewId="0">
      <selection activeCell="D21" sqref="D21"/>
    </sheetView>
  </sheetViews>
  <sheetFormatPr defaultColWidth="8.66666666666667" defaultRowHeight="14.4" outlineLevelCol="5"/>
  <cols>
    <col min="1" max="1" width="12" customWidth="1"/>
    <col min="2" max="2" width="44" customWidth="1"/>
    <col min="3" max="3" width="18" customWidth="1"/>
    <col min="4" max="4" width="48" customWidth="1"/>
    <col min="5" max="5" width="16" customWidth="1"/>
    <col min="6" max="6" width="34" customWidth="1"/>
  </cols>
  <sheetData>
    <row r="1" ht="16.8" spans="1:6">
      <c r="A1" s="45" t="s">
        <v>0</v>
      </c>
    </row>
    <row r="2" ht="30" customHeight="1" spans="1:6">
      <c r="A2" s="36"/>
      <c r="B2" s="36"/>
      <c r="C2" s="36"/>
      <c r="D2" s="36"/>
      <c r="E2" s="36"/>
      <c r="F2" s="36"/>
    </row>
    <row r="4" spans="1:6">
      <c r="A4" s="39" t="s">
        <v>1</v>
      </c>
    </row>
    <row r="5" spans="1:6">
      <c r="A5" s="37" t="s">
        <v>2</v>
      </c>
      <c r="B5" s="37" t="s">
        <v>3</v>
      </c>
      <c r="C5" s="37" t="s">
        <v>4</v>
      </c>
      <c r="D5" s="37" t="s">
        <v>5</v>
      </c>
      <c r="E5" s="37" t="s">
        <v>6</v>
      </c>
      <c r="F5" s="37" t="s">
        <v>7</v>
      </c>
    </row>
    <row r="6" spans="1:6">
      <c r="A6" s="40" t="s">
        <v>8</v>
      </c>
      <c r="B6" s="40" t="s">
        <v>9</v>
      </c>
      <c r="C6" s="41">
        <v>95000</v>
      </c>
      <c r="D6" s="41">
        <v>199000</v>
      </c>
      <c r="E6" s="62">
        <f t="shared" ref="E6:E17" si="0">(D6-C6)/D6</f>
        <v>0.522613065326633</v>
      </c>
      <c r="F6" s="40" t="s">
        <v>10</v>
      </c>
    </row>
    <row r="7" spans="1:6">
      <c r="A7" s="40" t="s">
        <v>11</v>
      </c>
      <c r="B7" s="40" t="s">
        <v>12</v>
      </c>
      <c r="C7" s="41">
        <v>110000</v>
      </c>
      <c r="D7" s="41">
        <v>229000</v>
      </c>
      <c r="E7" s="62">
        <f t="shared" si="0"/>
        <v>0.519650655021834</v>
      </c>
      <c r="F7" s="40" t="s">
        <v>13</v>
      </c>
    </row>
    <row r="8" spans="1:6">
      <c r="A8" s="40" t="s">
        <v>14</v>
      </c>
      <c r="B8" s="40" t="s">
        <v>15</v>
      </c>
      <c r="C8" s="41">
        <v>130000</v>
      </c>
      <c r="D8" s="41">
        <v>269000</v>
      </c>
      <c r="E8" s="62">
        <f t="shared" si="0"/>
        <v>0.516728624535316</v>
      </c>
      <c r="F8" s="40" t="s">
        <v>10</v>
      </c>
    </row>
    <row r="9" spans="1:6">
      <c r="A9" s="40" t="s">
        <v>16</v>
      </c>
      <c r="B9" s="40" t="s">
        <v>17</v>
      </c>
      <c r="C9" s="41">
        <v>35000</v>
      </c>
      <c r="D9" s="41">
        <v>79000</v>
      </c>
      <c r="E9" s="62">
        <f t="shared" si="0"/>
        <v>0.556962025316456</v>
      </c>
      <c r="F9" s="40" t="s">
        <v>18</v>
      </c>
    </row>
    <row r="10" spans="1:6">
      <c r="A10" s="40" t="s">
        <v>19</v>
      </c>
      <c r="B10" s="40" t="s">
        <v>20</v>
      </c>
      <c r="C10" s="41">
        <v>15000</v>
      </c>
      <c r="D10" s="41">
        <v>39000</v>
      </c>
      <c r="E10" s="62">
        <f t="shared" si="0"/>
        <v>0.615384615384615</v>
      </c>
      <c r="F10" s="40" t="s">
        <v>18</v>
      </c>
    </row>
    <row r="11" spans="1:6">
      <c r="A11" s="40" t="s">
        <v>21</v>
      </c>
      <c r="B11" s="40" t="s">
        <v>22</v>
      </c>
      <c r="C11" s="41">
        <v>20000</v>
      </c>
      <c r="D11" s="41">
        <v>49000</v>
      </c>
      <c r="E11" s="62">
        <f t="shared" si="0"/>
        <v>0.591836734693878</v>
      </c>
      <c r="F11" s="40" t="s">
        <v>18</v>
      </c>
    </row>
    <row r="12" spans="1:6">
      <c r="A12" s="40" t="s">
        <v>23</v>
      </c>
      <c r="B12" s="40" t="s">
        <v>24</v>
      </c>
      <c r="C12" s="41">
        <v>25000</v>
      </c>
      <c r="D12" s="41">
        <v>59000</v>
      </c>
      <c r="E12" s="62">
        <f t="shared" si="0"/>
        <v>0.576271186440678</v>
      </c>
      <c r="F12" s="40" t="s">
        <v>18</v>
      </c>
    </row>
    <row r="13" spans="1:6">
      <c r="A13" s="40" t="s">
        <v>25</v>
      </c>
      <c r="B13" s="40" t="s">
        <v>26</v>
      </c>
      <c r="C13" s="41">
        <v>35000</v>
      </c>
      <c r="D13" s="41">
        <v>89000</v>
      </c>
      <c r="E13" s="62">
        <f t="shared" si="0"/>
        <v>0.606741573033708</v>
      </c>
      <c r="F13" s="40" t="s">
        <v>18</v>
      </c>
    </row>
    <row r="14" spans="1:6">
      <c r="A14" s="40" t="s">
        <v>27</v>
      </c>
      <c r="B14" s="40" t="s">
        <v>28</v>
      </c>
      <c r="C14" s="42">
        <f>C6+C10</f>
        <v>110000</v>
      </c>
      <c r="D14" s="41">
        <v>229000</v>
      </c>
      <c r="E14" s="62">
        <f t="shared" si="0"/>
        <v>0.519650655021834</v>
      </c>
      <c r="F14" s="40" t="s">
        <v>29</v>
      </c>
    </row>
    <row r="15" spans="1:6">
      <c r="A15" s="40" t="s">
        <v>30</v>
      </c>
      <c r="B15" s="40" t="s">
        <v>31</v>
      </c>
      <c r="C15" s="42">
        <f>C7+C9</f>
        <v>145000</v>
      </c>
      <c r="D15" s="41">
        <v>289000</v>
      </c>
      <c r="E15" s="62">
        <f t="shared" si="0"/>
        <v>0.498269896193772</v>
      </c>
      <c r="F15" s="40" t="s">
        <v>29</v>
      </c>
    </row>
    <row r="16" spans="1:6">
      <c r="A16" s="40" t="s">
        <v>32</v>
      </c>
      <c r="B16" s="40" t="s">
        <v>33</v>
      </c>
      <c r="C16" s="42">
        <f>C7+C9+C10</f>
        <v>160000</v>
      </c>
      <c r="D16" s="41">
        <v>349000</v>
      </c>
      <c r="E16" s="62">
        <f t="shared" si="0"/>
        <v>0.541547277936963</v>
      </c>
      <c r="F16" s="40" t="s">
        <v>29</v>
      </c>
    </row>
    <row r="17" spans="1:6">
      <c r="A17" s="40" t="s">
        <v>34</v>
      </c>
      <c r="B17" s="40" t="s">
        <v>35</v>
      </c>
      <c r="C17" s="42">
        <f>C8+C9+C10</f>
        <v>180000</v>
      </c>
      <c r="D17" s="41">
        <v>389000</v>
      </c>
      <c r="E17" s="62">
        <f t="shared" si="0"/>
        <v>0.537275064267352</v>
      </c>
      <c r="F17" s="40" t="s">
        <v>29</v>
      </c>
    </row>
    <row r="19" spans="1:6">
      <c r="A19" s="39" t="s">
        <v>36</v>
      </c>
    </row>
    <row r="20" spans="1:6">
      <c r="A20" s="37" t="s">
        <v>37</v>
      </c>
      <c r="B20" s="37" t="s">
        <v>38</v>
      </c>
      <c r="C20" s="37" t="s">
        <v>39</v>
      </c>
      <c r="D20" s="37" t="s">
        <v>40</v>
      </c>
      <c r="E20" s="37" t="s">
        <v>41</v>
      </c>
      <c r="F20" s="37"/>
    </row>
    <row r="21" spans="1:6">
      <c r="A21" s="55" t="s">
        <v>42</v>
      </c>
      <c r="B21" s="55" t="s">
        <v>43</v>
      </c>
      <c r="C21" s="65">
        <f>'Ngân sách'!C4</f>
        <v>30000000</v>
      </c>
      <c r="D21" s="55" t="s">
        <v>44</v>
      </c>
      <c r="E21" s="55" t="s">
        <v>45</v>
      </c>
    </row>
    <row r="22" spans="1:6">
      <c r="A22" s="55" t="s">
        <v>46</v>
      </c>
      <c r="B22" s="55" t="s">
        <v>47</v>
      </c>
      <c r="C22" s="66">
        <v>0.025</v>
      </c>
      <c r="D22" s="55" t="s">
        <v>48</v>
      </c>
      <c r="E22" s="55" t="s">
        <v>45</v>
      </c>
    </row>
    <row r="23" spans="1:6">
      <c r="A23" s="55" t="s">
        <v>49</v>
      </c>
      <c r="B23" s="55" t="s">
        <v>50</v>
      </c>
      <c r="C23" s="65">
        <f>CPC_Data!$O$8</f>
        <v>447</v>
      </c>
      <c r="D23" s="55" t="s">
        <v>51</v>
      </c>
      <c r="E23" s="55" t="s">
        <v>52</v>
      </c>
    </row>
    <row r="24" spans="1:6">
      <c r="A24" s="55" t="s">
        <v>49</v>
      </c>
      <c r="B24" s="55" t="s">
        <v>53</v>
      </c>
      <c r="C24" s="65">
        <f>CPC_Data!$O$9</f>
        <v>1493.25</v>
      </c>
      <c r="D24" s="55" t="s">
        <v>54</v>
      </c>
      <c r="E24" s="55" t="s">
        <v>52</v>
      </c>
    </row>
    <row r="25" spans="1:6">
      <c r="A25" s="55" t="s">
        <v>49</v>
      </c>
      <c r="B25" s="55" t="s">
        <v>55</v>
      </c>
      <c r="C25" s="65">
        <f>CPC_Data!$O$10</f>
        <v>2491.5</v>
      </c>
      <c r="D25" s="55" t="s">
        <v>56</v>
      </c>
      <c r="E25" s="55" t="s">
        <v>52</v>
      </c>
    </row>
    <row r="26" spans="1:6">
      <c r="A26" s="55" t="s">
        <v>57</v>
      </c>
      <c r="B26" s="55" t="s">
        <v>58</v>
      </c>
      <c r="C26" s="67">
        <f>CPC_Data!$O$6</f>
        <v>164</v>
      </c>
      <c r="D26" s="55" t="s">
        <v>59</v>
      </c>
      <c r="E26" s="55" t="s">
        <v>52</v>
      </c>
    </row>
    <row r="27" spans="1:6">
      <c r="A27" s="55" t="s">
        <v>57</v>
      </c>
      <c r="B27" s="55" t="s">
        <v>60</v>
      </c>
      <c r="C27" s="65">
        <f>CPC_Data!$O$7</f>
        <v>109000</v>
      </c>
      <c r="D27" s="55" t="s">
        <v>61</v>
      </c>
      <c r="E27" s="55" t="s">
        <v>52</v>
      </c>
    </row>
    <row r="30" spans="1:6">
      <c r="A30" s="39"/>
    </row>
    <row r="31" spans="1:6">
      <c r="A31" s="49"/>
    </row>
    <row r="32" spans="1:6">
      <c r="A32" s="49"/>
    </row>
    <row r="33" spans="1:1">
      <c r="A33" s="49"/>
    </row>
    <row r="34" spans="1:1">
      <c r="A34" s="49"/>
    </row>
  </sheetData>
  <mergeCells count="1">
    <mergeCell ref="A2:F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2" workbookViewId="0">
      <selection activeCell="A29" sqref="A29:E29"/>
    </sheetView>
  </sheetViews>
  <sheetFormatPr defaultColWidth="8.66666666666667" defaultRowHeight="14.4" outlineLevelCol="4"/>
  <cols>
    <col min="1" max="1" width="34" customWidth="1"/>
    <col min="2" max="2" width="12" customWidth="1"/>
    <col min="3" max="3" width="22" customWidth="1"/>
    <col min="4" max="4" width="40" customWidth="1"/>
    <col min="5" max="5" width="60" customWidth="1"/>
  </cols>
  <sheetData>
    <row r="1" ht="16.8" spans="1:5">
      <c r="A1" s="45" t="s">
        <v>62</v>
      </c>
    </row>
    <row r="2" ht="43.5" customHeight="1" spans="1:5">
      <c r="A2" s="36" t="s">
        <v>63</v>
      </c>
      <c r="B2" s="36"/>
      <c r="C2" s="36"/>
      <c r="D2" s="36"/>
      <c r="E2" s="36"/>
    </row>
    <row r="4" spans="1:5">
      <c r="A4" s="39" t="s">
        <v>43</v>
      </c>
      <c r="C4" s="47">
        <v>30000000</v>
      </c>
    </row>
    <row r="6" spans="1:5">
      <c r="A6" s="39" t="s">
        <v>64</v>
      </c>
    </row>
    <row r="7" spans="1:5">
      <c r="A7" s="37" t="s">
        <v>65</v>
      </c>
      <c r="B7" s="37" t="s">
        <v>66</v>
      </c>
      <c r="C7" s="37" t="s">
        <v>67</v>
      </c>
      <c r="D7" s="37" t="s">
        <v>68</v>
      </c>
      <c r="E7" s="37" t="s">
        <v>69</v>
      </c>
    </row>
    <row r="8" ht="26.4" spans="1:5">
      <c r="A8" s="55" t="s">
        <v>70</v>
      </c>
      <c r="B8" s="56">
        <v>0.5</v>
      </c>
      <c r="C8" s="57">
        <f>$C$4*B8</f>
        <v>15000000</v>
      </c>
      <c r="D8" s="55" t="s">
        <v>71</v>
      </c>
      <c r="E8" s="55" t="s">
        <v>72</v>
      </c>
    </row>
    <row r="9" ht="26.4" spans="1:5">
      <c r="A9" s="55" t="s">
        <v>73</v>
      </c>
      <c r="B9" s="56">
        <v>0.25</v>
      </c>
      <c r="C9" s="57">
        <f>$C$4*B9</f>
        <v>7500000</v>
      </c>
      <c r="D9" s="55" t="s">
        <v>74</v>
      </c>
      <c r="E9" s="55" t="s">
        <v>75</v>
      </c>
    </row>
    <row r="10" ht="26.4" spans="1:5">
      <c r="A10" s="55" t="s">
        <v>76</v>
      </c>
      <c r="B10" s="56">
        <v>0.2</v>
      </c>
      <c r="C10" s="57">
        <f>$C$4*B10</f>
        <v>6000000</v>
      </c>
      <c r="D10" s="55" t="s">
        <v>77</v>
      </c>
      <c r="E10" s="55" t="s">
        <v>78</v>
      </c>
    </row>
    <row r="11" spans="1:5">
      <c r="A11" s="55" t="s">
        <v>79</v>
      </c>
      <c r="B11" s="56">
        <v>0.05</v>
      </c>
      <c r="C11" s="57">
        <f>$C$4*B11</f>
        <v>1500000</v>
      </c>
      <c r="D11" s="55" t="s">
        <v>80</v>
      </c>
      <c r="E11" s="55" t="s">
        <v>81</v>
      </c>
    </row>
    <row r="12" spans="1:5">
      <c r="A12" s="58" t="s">
        <v>82</v>
      </c>
      <c r="B12" s="59">
        <f>SUM(B8:B11)</f>
        <v>1</v>
      </c>
      <c r="C12" s="60">
        <f>SUM(C8:C11)</f>
        <v>30000000</v>
      </c>
      <c r="D12" s="58"/>
    </row>
    <row r="15" spans="1:5">
      <c r="A15" s="39" t="s">
        <v>83</v>
      </c>
    </row>
    <row r="16" spans="1:5">
      <c r="A16" s="37" t="s">
        <v>84</v>
      </c>
      <c r="B16" s="37" t="s">
        <v>85</v>
      </c>
      <c r="C16" s="37" t="s">
        <v>86</v>
      </c>
      <c r="D16" s="37" t="s">
        <v>87</v>
      </c>
      <c r="E16" s="37" t="s">
        <v>67</v>
      </c>
    </row>
    <row r="17" spans="1:5">
      <c r="A17" s="40" t="s">
        <v>88</v>
      </c>
      <c r="B17" s="61">
        <f>SUMIFS(CPC_Data!$I$6:$I$172,CPC_Data!$D$6:$D$172,A17)</f>
        <v>70</v>
      </c>
      <c r="C17" s="46">
        <f>SUMPRODUCT((CPC_Data!$D$6:$D$172=A17)*CPC_Data!$E$6:$E$172*CPC_Data!$I$6:$I$172)</f>
        <v>76850</v>
      </c>
      <c r="D17" s="62">
        <f t="shared" ref="D17:D24" si="0">C17/$C$25</f>
        <v>0.705045871559633</v>
      </c>
      <c r="E17" s="42">
        <f t="shared" ref="E17:E24" si="1">$C$8*D17</f>
        <v>10575688.0733945</v>
      </c>
    </row>
    <row r="18" spans="1:5">
      <c r="A18" s="40" t="s">
        <v>89</v>
      </c>
      <c r="B18" s="61">
        <f>SUMIFS(CPC_Data!$I$6:$I$172,CPC_Data!$D$6:$D$172,A18)</f>
        <v>49</v>
      </c>
      <c r="C18" s="46">
        <f>SUMPRODUCT((CPC_Data!$D$6:$D$172=A18)*CPC_Data!$E$6:$E$172*CPC_Data!$I$6:$I$172)</f>
        <v>10100</v>
      </c>
      <c r="D18" s="62">
        <f t="shared" si="0"/>
        <v>0.0926605504587156</v>
      </c>
      <c r="E18" s="42">
        <f t="shared" si="1"/>
        <v>1389908.25688073</v>
      </c>
    </row>
    <row r="19" spans="1:5">
      <c r="A19" s="40" t="s">
        <v>90</v>
      </c>
      <c r="B19" s="61">
        <f>SUMIFS(CPC_Data!$I$6:$I$172,CPC_Data!$D$6:$D$172,A19)</f>
        <v>11</v>
      </c>
      <c r="C19" s="46">
        <f>SUMPRODUCT((CPC_Data!$D$6:$D$172=A19)*CPC_Data!$E$6:$E$172*CPC_Data!$I$6:$I$172)</f>
        <v>9550</v>
      </c>
      <c r="D19" s="62">
        <f t="shared" si="0"/>
        <v>0.0876146788990826</v>
      </c>
      <c r="E19" s="42">
        <f t="shared" si="1"/>
        <v>1314220.18348624</v>
      </c>
    </row>
    <row r="20" spans="1:5">
      <c r="A20" s="40" t="s">
        <v>91</v>
      </c>
      <c r="B20" s="61">
        <f>SUMIFS(CPC_Data!$I$6:$I$172,CPC_Data!$D$6:$D$172,A20)</f>
        <v>10</v>
      </c>
      <c r="C20" s="46">
        <f>SUMPRODUCT((CPC_Data!$D$6:$D$172=A20)*CPC_Data!$E$6:$E$172*CPC_Data!$I$6:$I$172)</f>
        <v>2750</v>
      </c>
      <c r="D20" s="62">
        <f t="shared" si="0"/>
        <v>0.0252293577981651</v>
      </c>
      <c r="E20" s="42">
        <f t="shared" si="1"/>
        <v>378440.366972477</v>
      </c>
    </row>
    <row r="21" spans="1:5">
      <c r="A21" s="40" t="s">
        <v>92</v>
      </c>
      <c r="B21" s="61">
        <f>SUMIFS(CPC_Data!$I$6:$I$172,CPC_Data!$D$6:$D$172,A21)</f>
        <v>9</v>
      </c>
      <c r="C21" s="46">
        <f>SUMPRODUCT((CPC_Data!$D$6:$D$172=A21)*CPC_Data!$E$6:$E$172*CPC_Data!$I$6:$I$172)</f>
        <v>2700</v>
      </c>
      <c r="D21" s="62">
        <f t="shared" si="0"/>
        <v>0.0247706422018349</v>
      </c>
      <c r="E21" s="42">
        <f t="shared" si="1"/>
        <v>371559.633027523</v>
      </c>
    </row>
    <row r="22" spans="1:5">
      <c r="A22" s="40" t="s">
        <v>93</v>
      </c>
      <c r="B22" s="61">
        <f>SUMIFS(CPC_Data!$I$6:$I$172,CPC_Data!$D$6:$D$172,A22)</f>
        <v>8</v>
      </c>
      <c r="C22" s="46">
        <f>SUMPRODUCT((CPC_Data!$D$6:$D$172=A22)*CPC_Data!$E$6:$E$172*CPC_Data!$I$6:$I$172)</f>
        <v>3550</v>
      </c>
      <c r="D22" s="62">
        <f t="shared" si="0"/>
        <v>0.0325688073394495</v>
      </c>
      <c r="E22" s="42">
        <f t="shared" si="1"/>
        <v>488532.110091743</v>
      </c>
    </row>
    <row r="23" spans="1:5">
      <c r="A23" s="40" t="s">
        <v>94</v>
      </c>
      <c r="B23" s="61">
        <f>SUMIFS(CPC_Data!$I$6:$I$172,CPC_Data!$D$6:$D$172,A23)</f>
        <v>4</v>
      </c>
      <c r="C23" s="46">
        <f>SUMPRODUCT((CPC_Data!$D$6:$D$172=A23)*CPC_Data!$E$6:$E$172*CPC_Data!$I$6:$I$172)</f>
        <v>2000</v>
      </c>
      <c r="D23" s="62">
        <f t="shared" si="0"/>
        <v>0.018348623853211</v>
      </c>
      <c r="E23" s="42">
        <f t="shared" si="1"/>
        <v>275229.357798165</v>
      </c>
    </row>
    <row r="24" spans="1:5">
      <c r="A24" s="40" t="s">
        <v>95</v>
      </c>
      <c r="B24" s="61">
        <f>SUMIFS(CPC_Data!$I$6:$I$172,CPC_Data!$D$6:$D$172,A24)</f>
        <v>3</v>
      </c>
      <c r="C24" s="46">
        <f>SUMPRODUCT((CPC_Data!$D$6:$D$172=A24)*CPC_Data!$E$6:$E$172*CPC_Data!$I$6:$I$172)</f>
        <v>1500</v>
      </c>
      <c r="D24" s="62">
        <f t="shared" si="0"/>
        <v>0.0137614678899083</v>
      </c>
      <c r="E24" s="42">
        <f t="shared" si="1"/>
        <v>206422.018348624</v>
      </c>
    </row>
    <row r="25" spans="1:5">
      <c r="A25" s="58" t="s">
        <v>82</v>
      </c>
      <c r="B25" s="63">
        <f>SUM(B17:B24)</f>
        <v>164</v>
      </c>
      <c r="C25" s="60">
        <f>SUM(C17:C24)</f>
        <v>109000</v>
      </c>
      <c r="D25" s="59">
        <f>SUM(D17:D24)</f>
        <v>1</v>
      </c>
      <c r="E25" s="60">
        <f>SUM(E17:E24)</f>
        <v>15000000</v>
      </c>
    </row>
    <row r="27" ht="31.5" customHeight="1" spans="1:5">
      <c r="A27" s="64" t="s">
        <v>96</v>
      </c>
      <c r="B27" s="64"/>
      <c r="C27" s="64"/>
      <c r="D27" s="64"/>
      <c r="E27" s="64"/>
    </row>
    <row r="28" ht="31.5" customHeight="1" spans="1:5">
      <c r="A28" s="64" t="s">
        <v>97</v>
      </c>
      <c r="B28" s="64"/>
      <c r="C28" s="64"/>
      <c r="D28" s="64"/>
      <c r="E28" s="64"/>
    </row>
    <row r="29" ht="31.5" customHeight="1" spans="1:5">
      <c r="A29" s="64"/>
      <c r="B29" s="64"/>
      <c r="C29" s="64"/>
      <c r="D29" s="64"/>
      <c r="E29" s="64"/>
    </row>
  </sheetData>
  <mergeCells count="4">
    <mergeCell ref="A2:E2"/>
    <mergeCell ref="A27:E27"/>
    <mergeCell ref="A28:E28"/>
    <mergeCell ref="A29:E29"/>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topLeftCell="A4" workbookViewId="0">
      <selection activeCell="E23" sqref="E23"/>
    </sheetView>
  </sheetViews>
  <sheetFormatPr defaultColWidth="8.66666666666667" defaultRowHeight="14.4" outlineLevelCol="5"/>
  <cols>
    <col min="1" max="1" width="34" customWidth="1"/>
    <col min="2" max="3" width="16" customWidth="1"/>
    <col min="4" max="5" width="20" customWidth="1"/>
    <col min="6" max="6" width="22" customWidth="1"/>
  </cols>
  <sheetData>
    <row r="1" ht="16.8" spans="1:6">
      <c r="A1" s="45" t="s">
        <v>98</v>
      </c>
    </row>
    <row r="2" ht="43.5" customHeight="1" spans="1:6">
      <c r="A2" s="36" t="s">
        <v>99</v>
      </c>
      <c r="B2" s="36"/>
      <c r="C2" s="36"/>
      <c r="D2" s="36"/>
      <c r="E2" s="36"/>
      <c r="F2" s="36"/>
    </row>
    <row r="4" ht="31.5" customHeight="1" spans="1:6">
      <c r="A4" s="37" t="s">
        <v>100</v>
      </c>
      <c r="B4" s="37" t="s">
        <v>5</v>
      </c>
      <c r="C4" s="37" t="s">
        <v>4</v>
      </c>
      <c r="D4" s="37" t="s">
        <v>101</v>
      </c>
      <c r="E4" s="37" t="s">
        <v>102</v>
      </c>
      <c r="F4" s="37" t="s">
        <v>103</v>
      </c>
    </row>
    <row r="5" spans="1:6">
      <c r="A5" s="40" t="s">
        <v>104</v>
      </c>
      <c r="B5" s="46">
        <f>'B1_Dữ liệu đầu vào'!D6</f>
        <v>199000</v>
      </c>
      <c r="C5" s="46">
        <f>'B1_Dữ liệu đầu vào'!C6</f>
        <v>95000</v>
      </c>
      <c r="D5" s="47">
        <v>30</v>
      </c>
      <c r="E5" s="47">
        <v>20</v>
      </c>
      <c r="F5" s="47">
        <v>10</v>
      </c>
    </row>
    <row r="6" spans="1:6">
      <c r="A6" s="40" t="s">
        <v>105</v>
      </c>
      <c r="B6" s="46">
        <f>'B1_Dữ liệu đầu vào'!D7</f>
        <v>229000</v>
      </c>
      <c r="C6" s="46">
        <f>'B1_Dữ liệu đầu vào'!C7</f>
        <v>110000</v>
      </c>
      <c r="D6" s="47">
        <v>30</v>
      </c>
      <c r="E6" s="47">
        <v>25</v>
      </c>
      <c r="F6" s="47">
        <v>15</v>
      </c>
    </row>
    <row r="7" spans="1:6">
      <c r="A7" s="40" t="s">
        <v>106</v>
      </c>
      <c r="B7" s="46">
        <f>'B1_Dữ liệu đầu vào'!D8</f>
        <v>269000</v>
      </c>
      <c r="C7" s="46">
        <f>'B1_Dữ liệu đầu vào'!C8</f>
        <v>130000</v>
      </c>
      <c r="D7" s="47">
        <v>15</v>
      </c>
      <c r="E7" s="47">
        <v>10</v>
      </c>
      <c r="F7" s="47">
        <v>5</v>
      </c>
    </row>
    <row r="8" spans="1:6">
      <c r="A8" s="40" t="s">
        <v>107</v>
      </c>
      <c r="B8" s="46">
        <f>'B1_Dữ liệu đầu vào'!D14</f>
        <v>229000</v>
      </c>
      <c r="C8" s="46">
        <f>'B1_Dữ liệu đầu vào'!C14</f>
        <v>110000</v>
      </c>
      <c r="D8" s="47">
        <v>8</v>
      </c>
      <c r="E8" s="47">
        <v>10</v>
      </c>
      <c r="F8" s="47">
        <v>12</v>
      </c>
    </row>
    <row r="9" spans="1:6">
      <c r="A9" s="40" t="s">
        <v>108</v>
      </c>
      <c r="B9" s="46">
        <f>'B1_Dữ liệu đầu vào'!D15</f>
        <v>289000</v>
      </c>
      <c r="C9" s="46">
        <f>'B1_Dữ liệu đầu vào'!C15</f>
        <v>145000</v>
      </c>
      <c r="D9" s="47">
        <v>8</v>
      </c>
      <c r="E9" s="47">
        <v>15</v>
      </c>
      <c r="F9" s="47">
        <v>20</v>
      </c>
    </row>
    <row r="10" spans="1:6">
      <c r="A10" s="40" t="s">
        <v>109</v>
      </c>
      <c r="B10" s="46">
        <f>'B1_Dữ liệu đầu vào'!D16</f>
        <v>349000</v>
      </c>
      <c r="C10" s="46">
        <f>'B1_Dữ liệu đầu vào'!C16</f>
        <v>160000</v>
      </c>
      <c r="D10" s="47">
        <v>5</v>
      </c>
      <c r="E10" s="47">
        <v>12</v>
      </c>
      <c r="F10" s="47">
        <v>23</v>
      </c>
    </row>
    <row r="11" spans="1:6">
      <c r="A11" s="40" t="s">
        <v>110</v>
      </c>
      <c r="B11" s="46">
        <f>'B1_Dữ liệu đầu vào'!D17</f>
        <v>389000</v>
      </c>
      <c r="C11" s="46">
        <f>'B1_Dữ liệu đầu vào'!C17</f>
        <v>180000</v>
      </c>
      <c r="D11" s="47">
        <v>4</v>
      </c>
      <c r="E11" s="47">
        <v>8</v>
      </c>
      <c r="F11" s="47">
        <v>15</v>
      </c>
    </row>
    <row r="12" spans="1:6">
      <c r="A12" s="39" t="s">
        <v>111</v>
      </c>
      <c r="D12" s="48">
        <f>SUM(D5:D11)</f>
        <v>100</v>
      </c>
      <c r="E12" s="48">
        <f>SUM(E5:E11)</f>
        <v>100</v>
      </c>
      <c r="F12" s="48">
        <f>SUM(F5:F11)</f>
        <v>100</v>
      </c>
    </row>
    <row r="14" spans="1:6">
      <c r="A14" s="49" t="s">
        <v>112</v>
      </c>
      <c r="D14" s="50">
        <f>SUMPRODUCT($B$5:$B$11,D5:D11)</f>
        <v>24320000</v>
      </c>
      <c r="E14" s="50">
        <f>SUMPRODUCT($B$5:$B$11,E5:E11)</f>
        <v>26320000</v>
      </c>
      <c r="F14" s="50">
        <f>SUMPRODUCT($B$5:$B$11,F5:F11)</f>
        <v>29160000</v>
      </c>
    </row>
    <row r="15" spans="1:6">
      <c r="A15" s="49" t="s">
        <v>113</v>
      </c>
      <c r="D15" s="50">
        <f>SUMPRODUCT($C$5:$C$11,D5:D11)</f>
        <v>11660000</v>
      </c>
      <c r="E15" s="50">
        <f>SUMPRODUCT($C$5:$C$11,E5:E11)</f>
        <v>12585000</v>
      </c>
      <c r="F15" s="50">
        <f>SUMPRODUCT($C$5:$C$11,F5:F11)</f>
        <v>13850000</v>
      </c>
    </row>
    <row r="16" spans="1:6">
      <c r="A16" s="39" t="s">
        <v>114</v>
      </c>
      <c r="D16" s="51">
        <f>IF(D12=0,0,D14/D12)</f>
        <v>243200</v>
      </c>
      <c r="E16" s="51">
        <f>IF(E12=0,0,E14/E12)</f>
        <v>263200</v>
      </c>
      <c r="F16" s="51">
        <f>IF(F12=0,0,F14/F12)</f>
        <v>291600</v>
      </c>
    </row>
    <row r="17" spans="1:6">
      <c r="A17" s="49" t="s">
        <v>115</v>
      </c>
      <c r="D17" s="52">
        <f>IF(D14=0,0,(D14-D15)/D14)</f>
        <v>0.520559210526316</v>
      </c>
      <c r="E17" s="52">
        <f>IF(E14=0,0,(E14-E15)/E14)</f>
        <v>0.521846504559271</v>
      </c>
      <c r="F17" s="52">
        <f>IF(F14=0,0,(F14-F15)/F14)</f>
        <v>0.525034293552812</v>
      </c>
    </row>
    <row r="18" spans="1:6">
      <c r="A18" s="49" t="s">
        <v>116</v>
      </c>
      <c r="D18" s="50">
        <f>D16*D17</f>
        <v>126600</v>
      </c>
      <c r="E18" s="50">
        <f>E16*E17</f>
        <v>137350</v>
      </c>
      <c r="F18" s="50">
        <f>F16*F17</f>
        <v>153100</v>
      </c>
    </row>
    <row r="19" spans="1:6">
      <c r="A19" s="49" t="s">
        <v>117</v>
      </c>
      <c r="D19" s="53" t="str">
        <f>IF(AND(D16&gt;=MIN($B$5:$B$11),D16&lt;=MAX($B$5:$B$11)),"Hợp lý","Kiểm tra lại")</f>
        <v>Hợp lý</v>
      </c>
      <c r="E19" s="53" t="str">
        <f>IF(AND(E16&gt;=MIN($B$5:$B$11),E16&lt;=MAX($B$5:$B$11)),"Hợp lý","Kiểm tra lại")</f>
        <v>Hợp lý</v>
      </c>
      <c r="F19" s="53" t="str">
        <f>IF(AND(F16&gt;=MIN($B$5:$B$11),F16&lt;=MAX($B$5:$B$11)),"Hợp lý","Kiểm tra lại")</f>
        <v>Hợp lý</v>
      </c>
    </row>
    <row r="21" spans="1:6">
      <c r="A21" s="39" t="s">
        <v>118</v>
      </c>
    </row>
    <row r="22" spans="1:6">
      <c r="A22" s="54" t="s">
        <v>119</v>
      </c>
    </row>
    <row r="23" spans="1:6">
      <c r="A23" s="54" t="s">
        <v>120</v>
      </c>
    </row>
  </sheetData>
  <mergeCells count="1">
    <mergeCell ref="A2:F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2"/>
  <sheetViews>
    <sheetView workbookViewId="0">
      <pane ySplit="5" topLeftCell="A6" activePane="bottomLeft" state="frozen"/>
      <selection/>
      <selection pane="bottomLeft" activeCell="C11" sqref="C11"/>
    </sheetView>
  </sheetViews>
  <sheetFormatPr defaultColWidth="8.66666666666667" defaultRowHeight="14.4"/>
  <cols>
    <col min="1" max="1" width="6" customWidth="1"/>
    <col min="2" max="2" width="42" customWidth="1"/>
    <col min="3" max="3" width="15" customWidth="1"/>
    <col min="4" max="4" width="22" customWidth="1"/>
    <col min="5" max="7" width="14" customWidth="1"/>
    <col min="8" max="8" width="16" customWidth="1"/>
    <col min="9" max="9" width="10" customWidth="1"/>
    <col min="10" max="12" width="15" customWidth="1"/>
    <col min="13" max="13" width="3" customWidth="1"/>
    <col min="14" max="14" width="48" customWidth="1"/>
    <col min="15" max="15" width="14" customWidth="1"/>
  </cols>
  <sheetData>
    <row r="1" ht="15.6" spans="1:15">
      <c r="A1" s="35" t="s">
        <v>121</v>
      </c>
    </row>
    <row r="2" ht="48" customHeight="1" spans="1:15">
      <c r="A2" s="36" t="s">
        <v>122</v>
      </c>
      <c r="B2" s="36"/>
      <c r="C2" s="36"/>
      <c r="D2" s="36"/>
      <c r="E2" s="36"/>
      <c r="F2" s="36"/>
      <c r="G2" s="36"/>
      <c r="H2" s="36"/>
      <c r="I2" s="36"/>
    </row>
    <row r="5" ht="26.4" spans="1:15">
      <c r="A5" s="37" t="s">
        <v>123</v>
      </c>
      <c r="B5" s="37" t="s">
        <v>124</v>
      </c>
      <c r="C5" s="37" t="s">
        <v>125</v>
      </c>
      <c r="D5" s="37" t="s">
        <v>126</v>
      </c>
      <c r="E5" s="37" t="s">
        <v>86</v>
      </c>
      <c r="F5" s="37" t="s">
        <v>127</v>
      </c>
      <c r="G5" s="37" t="s">
        <v>128</v>
      </c>
      <c r="H5" s="37" t="s">
        <v>129</v>
      </c>
      <c r="I5" s="37" t="s">
        <v>130</v>
      </c>
      <c r="J5" s="38" t="s">
        <v>131</v>
      </c>
      <c r="K5" s="38" t="s">
        <v>132</v>
      </c>
      <c r="L5" s="38" t="s">
        <v>133</v>
      </c>
      <c r="N5" s="39" t="s">
        <v>134</v>
      </c>
    </row>
    <row r="6" spans="1:15">
      <c r="A6" s="40">
        <v>1</v>
      </c>
      <c r="B6" s="40" t="s">
        <v>135</v>
      </c>
      <c r="C6" s="40" t="s">
        <v>136</v>
      </c>
      <c r="D6" s="40" t="s">
        <v>88</v>
      </c>
      <c r="E6" s="41">
        <v>50000</v>
      </c>
      <c r="F6" s="41">
        <v>545</v>
      </c>
      <c r="G6" s="41">
        <v>12191</v>
      </c>
      <c r="H6" s="42">
        <f t="shared" ref="H6:H37" si="0">AVERAGE(F6,G6)</f>
        <v>6368</v>
      </c>
      <c r="I6" s="43">
        <v>1</v>
      </c>
      <c r="J6" s="42">
        <f t="shared" ref="J6:J37" si="1">IF($I6=1,F6,"")</f>
        <v>545</v>
      </c>
      <c r="K6" s="42">
        <f t="shared" ref="K6:K37" si="2">IF($I6=1,G6,"")</f>
        <v>12191</v>
      </c>
      <c r="L6" s="42">
        <f t="shared" ref="L6:L37" si="3">IF($I6=1,H6,"")</f>
        <v>6368</v>
      </c>
      <c r="N6" s="40" t="s">
        <v>137</v>
      </c>
      <c r="O6" s="44">
        <f>SUM(I6:I172)</f>
        <v>164</v>
      </c>
    </row>
    <row r="7" spans="1:15">
      <c r="A7" s="40">
        <v>2</v>
      </c>
      <c r="B7" s="40" t="s">
        <v>138</v>
      </c>
      <c r="C7" s="40" t="s">
        <v>136</v>
      </c>
      <c r="D7" s="40" t="s">
        <v>90</v>
      </c>
      <c r="E7" s="41">
        <v>5000</v>
      </c>
      <c r="F7" s="41">
        <v>661</v>
      </c>
      <c r="G7" s="41">
        <v>2682</v>
      </c>
      <c r="H7" s="42">
        <f t="shared" si="0"/>
        <v>1671.5</v>
      </c>
      <c r="I7" s="43">
        <v>1</v>
      </c>
      <c r="J7" s="42">
        <f t="shared" si="1"/>
        <v>661</v>
      </c>
      <c r="K7" s="42">
        <f t="shared" si="2"/>
        <v>2682</v>
      </c>
      <c r="L7" s="42">
        <f t="shared" si="3"/>
        <v>1671.5</v>
      </c>
      <c r="N7" s="40" t="s">
        <v>139</v>
      </c>
      <c r="O7" s="42">
        <f>SUMPRODUCT(E6:E172,I6:I172)</f>
        <v>109000</v>
      </c>
    </row>
    <row r="8" spans="1:15">
      <c r="A8" s="40">
        <v>3</v>
      </c>
      <c r="B8" s="40" t="s">
        <v>140</v>
      </c>
      <c r="C8" s="40" t="s">
        <v>136</v>
      </c>
      <c r="D8" s="40" t="s">
        <v>88</v>
      </c>
      <c r="E8" s="41">
        <v>5000</v>
      </c>
      <c r="F8" s="41">
        <v>448</v>
      </c>
      <c r="G8" s="41">
        <v>3982</v>
      </c>
      <c r="H8" s="42">
        <f t="shared" si="0"/>
        <v>2215</v>
      </c>
      <c r="I8" s="43">
        <v>1</v>
      </c>
      <c r="J8" s="42">
        <f t="shared" si="1"/>
        <v>448</v>
      </c>
      <c r="K8" s="42">
        <f t="shared" si="2"/>
        <v>3982</v>
      </c>
      <c r="L8" s="42">
        <f t="shared" si="3"/>
        <v>2215</v>
      </c>
      <c r="N8" s="40" t="s">
        <v>141</v>
      </c>
      <c r="O8" s="42">
        <f>MEDIAN(J6:J172)</f>
        <v>447</v>
      </c>
    </row>
    <row r="9" spans="1:15">
      <c r="A9" s="40">
        <v>4</v>
      </c>
      <c r="B9" s="40" t="s">
        <v>142</v>
      </c>
      <c r="C9" s="40" t="s">
        <v>136</v>
      </c>
      <c r="D9" s="40" t="s">
        <v>88</v>
      </c>
      <c r="E9" s="41">
        <v>500</v>
      </c>
      <c r="F9" s="41">
        <v>447</v>
      </c>
      <c r="G9" s="41">
        <v>2299</v>
      </c>
      <c r="H9" s="42">
        <f t="shared" si="0"/>
        <v>1373</v>
      </c>
      <c r="I9" s="43">
        <v>1</v>
      </c>
      <c r="J9" s="42">
        <f t="shared" si="1"/>
        <v>447</v>
      </c>
      <c r="K9" s="42">
        <f t="shared" si="2"/>
        <v>2299</v>
      </c>
      <c r="L9" s="42">
        <f t="shared" si="3"/>
        <v>1373</v>
      </c>
      <c r="N9" s="40" t="s">
        <v>143</v>
      </c>
      <c r="O9" s="42">
        <f>MEDIAN(L6:L172)</f>
        <v>1493.25</v>
      </c>
    </row>
    <row r="10" spans="1:15">
      <c r="A10" s="40">
        <v>5</v>
      </c>
      <c r="B10" s="40" t="s">
        <v>144</v>
      </c>
      <c r="C10" s="40" t="s">
        <v>136</v>
      </c>
      <c r="D10" s="40" t="s">
        <v>88</v>
      </c>
      <c r="E10" s="41">
        <v>500</v>
      </c>
      <c r="F10" s="41">
        <v>298</v>
      </c>
      <c r="G10" s="41">
        <v>2483</v>
      </c>
      <c r="H10" s="42">
        <f t="shared" si="0"/>
        <v>1390.5</v>
      </c>
      <c r="I10" s="43">
        <v>1</v>
      </c>
      <c r="J10" s="42">
        <f t="shared" si="1"/>
        <v>298</v>
      </c>
      <c r="K10" s="42">
        <f t="shared" si="2"/>
        <v>2483</v>
      </c>
      <c r="L10" s="42">
        <f t="shared" si="3"/>
        <v>1390.5</v>
      </c>
      <c r="N10" s="40" t="s">
        <v>145</v>
      </c>
      <c r="O10" s="42">
        <f>MEDIAN(K6:K172)</f>
        <v>2491.5</v>
      </c>
    </row>
    <row r="11" spans="1:15">
      <c r="A11" s="40">
        <v>6</v>
      </c>
      <c r="B11" s="40" t="s">
        <v>146</v>
      </c>
      <c r="C11" s="40" t="s">
        <v>136</v>
      </c>
      <c r="D11" s="40" t="s">
        <v>89</v>
      </c>
      <c r="E11" s="41">
        <v>500</v>
      </c>
      <c r="F11" s="41">
        <v>563</v>
      </c>
      <c r="G11" s="41">
        <v>1646</v>
      </c>
      <c r="H11" s="42">
        <f t="shared" si="0"/>
        <v>1104.5</v>
      </c>
      <c r="I11" s="43">
        <v>1</v>
      </c>
      <c r="J11" s="42">
        <f t="shared" si="1"/>
        <v>563</v>
      </c>
      <c r="K11" s="42">
        <f t="shared" si="2"/>
        <v>1646</v>
      </c>
      <c r="L11" s="42">
        <f t="shared" si="3"/>
        <v>1104.5</v>
      </c>
      <c r="N11" s="40" t="s">
        <v>147</v>
      </c>
      <c r="O11" s="42">
        <f>AVERAGE(L6:L172)</f>
        <v>1665.44817073171</v>
      </c>
    </row>
    <row r="12" spans="1:15">
      <c r="A12" s="40">
        <v>7</v>
      </c>
      <c r="B12" s="40" t="s">
        <v>148</v>
      </c>
      <c r="C12" s="40" t="s">
        <v>136</v>
      </c>
      <c r="D12" s="40" t="s">
        <v>89</v>
      </c>
      <c r="E12" s="41">
        <v>500</v>
      </c>
      <c r="F12" s="41">
        <v>656</v>
      </c>
      <c r="G12" s="41">
        <v>2482</v>
      </c>
      <c r="H12" s="42">
        <f t="shared" si="0"/>
        <v>1569</v>
      </c>
      <c r="I12" s="43">
        <v>1</v>
      </c>
      <c r="J12" s="42">
        <f t="shared" si="1"/>
        <v>656</v>
      </c>
      <c r="K12" s="42">
        <f t="shared" si="2"/>
        <v>2482</v>
      </c>
      <c r="L12" s="42">
        <f t="shared" si="3"/>
        <v>1569</v>
      </c>
      <c r="N12" s="40" t="s">
        <v>149</v>
      </c>
      <c r="O12" s="42">
        <f>SUMPRODUCT(H6:H172,E6:E172,I6:I172)/SUMPRODUCT(E6:E172,I6:I172)</f>
        <v>3837.63990825688</v>
      </c>
    </row>
    <row r="13" spans="1:15">
      <c r="A13" s="40">
        <v>8</v>
      </c>
      <c r="B13" s="40" t="s">
        <v>150</v>
      </c>
      <c r="C13" s="40" t="s">
        <v>136</v>
      </c>
      <c r="D13" s="40" t="s">
        <v>89</v>
      </c>
      <c r="E13" s="41">
        <v>500</v>
      </c>
      <c r="F13" s="41">
        <v>448</v>
      </c>
      <c r="G13" s="41">
        <v>3438</v>
      </c>
      <c r="H13" s="42">
        <f t="shared" si="0"/>
        <v>1943</v>
      </c>
      <c r="I13" s="43">
        <v>1</v>
      </c>
      <c r="J13" s="42">
        <f t="shared" si="1"/>
        <v>448</v>
      </c>
      <c r="K13" s="42">
        <f t="shared" si="2"/>
        <v>3438</v>
      </c>
      <c r="L13" s="42">
        <f t="shared" si="3"/>
        <v>1943</v>
      </c>
    </row>
    <row r="14" spans="1:15">
      <c r="A14" s="40">
        <v>9</v>
      </c>
      <c r="B14" s="40" t="s">
        <v>151</v>
      </c>
      <c r="C14" s="40" t="s">
        <v>136</v>
      </c>
      <c r="D14" s="40" t="s">
        <v>89</v>
      </c>
      <c r="E14" s="41">
        <v>500</v>
      </c>
      <c r="F14" s="41">
        <v>691</v>
      </c>
      <c r="G14" s="41">
        <v>2478</v>
      </c>
      <c r="H14" s="42">
        <f t="shared" si="0"/>
        <v>1584.5</v>
      </c>
      <c r="I14" s="43">
        <v>1</v>
      </c>
      <c r="J14" s="42">
        <f t="shared" si="1"/>
        <v>691</v>
      </c>
      <c r="K14" s="42">
        <f t="shared" si="2"/>
        <v>2478</v>
      </c>
      <c r="L14" s="42">
        <f t="shared" si="3"/>
        <v>1584.5</v>
      </c>
    </row>
    <row r="15" spans="1:15">
      <c r="A15" s="40">
        <v>10</v>
      </c>
      <c r="B15" s="40" t="s">
        <v>152</v>
      </c>
      <c r="C15" s="40" t="s">
        <v>136</v>
      </c>
      <c r="D15" s="40" t="s">
        <v>89</v>
      </c>
      <c r="E15" s="41">
        <v>500</v>
      </c>
      <c r="F15" s="41">
        <v>447</v>
      </c>
      <c r="G15" s="41">
        <v>2444</v>
      </c>
      <c r="H15" s="42">
        <f t="shared" si="0"/>
        <v>1445.5</v>
      </c>
      <c r="I15" s="43">
        <v>1</v>
      </c>
      <c r="J15" s="42">
        <f t="shared" si="1"/>
        <v>447</v>
      </c>
      <c r="K15" s="42">
        <f t="shared" si="2"/>
        <v>2444</v>
      </c>
      <c r="L15" s="42">
        <f t="shared" si="3"/>
        <v>1445.5</v>
      </c>
    </row>
    <row r="16" spans="1:15">
      <c r="A16" s="40">
        <v>11</v>
      </c>
      <c r="B16" s="40" t="s">
        <v>153</v>
      </c>
      <c r="C16" s="40" t="s">
        <v>136</v>
      </c>
      <c r="D16" s="40" t="s">
        <v>89</v>
      </c>
      <c r="E16" s="41">
        <v>500</v>
      </c>
      <c r="F16" s="41">
        <v>618</v>
      </c>
      <c r="G16" s="41">
        <v>1643</v>
      </c>
      <c r="H16" s="42">
        <f t="shared" si="0"/>
        <v>1130.5</v>
      </c>
      <c r="I16" s="43">
        <v>1</v>
      </c>
      <c r="J16" s="42">
        <f t="shared" si="1"/>
        <v>618</v>
      </c>
      <c r="K16" s="42">
        <f t="shared" si="2"/>
        <v>1643</v>
      </c>
      <c r="L16" s="42">
        <f t="shared" si="3"/>
        <v>1130.5</v>
      </c>
    </row>
    <row r="17" spans="1:12">
      <c r="A17" s="40">
        <v>12</v>
      </c>
      <c r="B17" s="40" t="s">
        <v>154</v>
      </c>
      <c r="C17" s="40" t="s">
        <v>136</v>
      </c>
      <c r="D17" s="40" t="s">
        <v>89</v>
      </c>
      <c r="E17" s="41">
        <v>500</v>
      </c>
      <c r="F17" s="41">
        <v>447</v>
      </c>
      <c r="G17" s="41">
        <v>2491</v>
      </c>
      <c r="H17" s="42">
        <f t="shared" si="0"/>
        <v>1469</v>
      </c>
      <c r="I17" s="43">
        <v>1</v>
      </c>
      <c r="J17" s="42">
        <f t="shared" si="1"/>
        <v>447</v>
      </c>
      <c r="K17" s="42">
        <f t="shared" si="2"/>
        <v>2491</v>
      </c>
      <c r="L17" s="42">
        <f t="shared" si="3"/>
        <v>1469</v>
      </c>
    </row>
    <row r="18" spans="1:12">
      <c r="A18" s="40">
        <v>13</v>
      </c>
      <c r="B18" s="40" t="s">
        <v>155</v>
      </c>
      <c r="C18" s="40" t="s">
        <v>136</v>
      </c>
      <c r="D18" s="40" t="s">
        <v>89</v>
      </c>
      <c r="E18" s="41">
        <v>500</v>
      </c>
      <c r="F18" s="41">
        <v>447</v>
      </c>
      <c r="G18" s="41">
        <v>694</v>
      </c>
      <c r="H18" s="42">
        <f t="shared" si="0"/>
        <v>570.5</v>
      </c>
      <c r="I18" s="43">
        <v>1</v>
      </c>
      <c r="J18" s="42">
        <f t="shared" si="1"/>
        <v>447</v>
      </c>
      <c r="K18" s="42">
        <f t="shared" si="2"/>
        <v>694</v>
      </c>
      <c r="L18" s="42">
        <f t="shared" si="3"/>
        <v>570.5</v>
      </c>
    </row>
    <row r="19" spans="1:12">
      <c r="A19" s="40">
        <v>14</v>
      </c>
      <c r="B19" s="40" t="s">
        <v>156</v>
      </c>
      <c r="C19" s="40" t="s">
        <v>136</v>
      </c>
      <c r="D19" s="40" t="s">
        <v>89</v>
      </c>
      <c r="E19" s="41">
        <v>500</v>
      </c>
      <c r="F19" s="41">
        <v>657</v>
      </c>
      <c r="G19" s="41">
        <v>2689</v>
      </c>
      <c r="H19" s="42">
        <f t="shared" si="0"/>
        <v>1673</v>
      </c>
      <c r="I19" s="43">
        <v>1</v>
      </c>
      <c r="J19" s="42">
        <f t="shared" si="1"/>
        <v>657</v>
      </c>
      <c r="K19" s="42">
        <f t="shared" si="2"/>
        <v>2689</v>
      </c>
      <c r="L19" s="42">
        <f t="shared" si="3"/>
        <v>1673</v>
      </c>
    </row>
    <row r="20" spans="1:12">
      <c r="A20" s="40">
        <v>15</v>
      </c>
      <c r="B20" s="40" t="s">
        <v>157</v>
      </c>
      <c r="C20" s="40" t="s">
        <v>136</v>
      </c>
      <c r="D20" s="40" t="s">
        <v>93</v>
      </c>
      <c r="E20" s="41">
        <v>500</v>
      </c>
      <c r="F20" s="41">
        <v>358</v>
      </c>
      <c r="G20" s="41">
        <v>867</v>
      </c>
      <c r="H20" s="42">
        <f t="shared" si="0"/>
        <v>612.5</v>
      </c>
      <c r="I20" s="43">
        <v>1</v>
      </c>
      <c r="J20" s="42">
        <f t="shared" si="1"/>
        <v>358</v>
      </c>
      <c r="K20" s="42">
        <f t="shared" si="2"/>
        <v>867</v>
      </c>
      <c r="L20" s="42">
        <f t="shared" si="3"/>
        <v>612.5</v>
      </c>
    </row>
    <row r="21" spans="1:12">
      <c r="A21" s="40">
        <v>16</v>
      </c>
      <c r="B21" s="40" t="s">
        <v>158</v>
      </c>
      <c r="C21" s="40" t="s">
        <v>136</v>
      </c>
      <c r="D21" s="40" t="s">
        <v>93</v>
      </c>
      <c r="E21" s="41">
        <v>500</v>
      </c>
      <c r="F21" s="41">
        <v>518</v>
      </c>
      <c r="G21" s="41">
        <v>2767</v>
      </c>
      <c r="H21" s="42">
        <f t="shared" si="0"/>
        <v>1642.5</v>
      </c>
      <c r="I21" s="43">
        <v>1</v>
      </c>
      <c r="J21" s="42">
        <f t="shared" si="1"/>
        <v>518</v>
      </c>
      <c r="K21" s="42">
        <f t="shared" si="2"/>
        <v>2767</v>
      </c>
      <c r="L21" s="42">
        <f t="shared" si="3"/>
        <v>1642.5</v>
      </c>
    </row>
    <row r="22" spans="1:12">
      <c r="A22" s="40">
        <v>17</v>
      </c>
      <c r="B22" s="40" t="s">
        <v>159</v>
      </c>
      <c r="C22" s="40" t="s">
        <v>136</v>
      </c>
      <c r="D22" s="40" t="s">
        <v>89</v>
      </c>
      <c r="E22" s="41">
        <v>500</v>
      </c>
      <c r="F22" s="41">
        <v>377</v>
      </c>
      <c r="G22" s="41">
        <v>2060</v>
      </c>
      <c r="H22" s="42">
        <f t="shared" si="0"/>
        <v>1218.5</v>
      </c>
      <c r="I22" s="43">
        <v>1</v>
      </c>
      <c r="J22" s="42">
        <f t="shared" si="1"/>
        <v>377</v>
      </c>
      <c r="K22" s="42">
        <f t="shared" si="2"/>
        <v>2060</v>
      </c>
      <c r="L22" s="42">
        <f t="shared" si="3"/>
        <v>1218.5</v>
      </c>
    </row>
    <row r="23" spans="1:12">
      <c r="A23" s="40">
        <v>18</v>
      </c>
      <c r="B23" s="40" t="s">
        <v>160</v>
      </c>
      <c r="C23" s="40" t="s">
        <v>136</v>
      </c>
      <c r="D23" s="40" t="s">
        <v>89</v>
      </c>
      <c r="E23" s="41">
        <v>500</v>
      </c>
      <c r="F23" s="41">
        <v>448</v>
      </c>
      <c r="G23" s="41">
        <v>1643</v>
      </c>
      <c r="H23" s="42">
        <f t="shared" si="0"/>
        <v>1045.5</v>
      </c>
      <c r="I23" s="43">
        <v>1</v>
      </c>
      <c r="J23" s="42">
        <f t="shared" si="1"/>
        <v>448</v>
      </c>
      <c r="K23" s="42">
        <f t="shared" si="2"/>
        <v>1643</v>
      </c>
      <c r="L23" s="42">
        <f t="shared" si="3"/>
        <v>1045.5</v>
      </c>
    </row>
    <row r="24" spans="1:12">
      <c r="A24" s="40">
        <v>19</v>
      </c>
      <c r="B24" s="40" t="s">
        <v>161</v>
      </c>
      <c r="C24" s="40" t="s">
        <v>136</v>
      </c>
      <c r="D24" s="40" t="s">
        <v>90</v>
      </c>
      <c r="E24" s="41">
        <v>500</v>
      </c>
      <c r="F24" s="41">
        <v>377</v>
      </c>
      <c r="G24" s="41">
        <v>2684</v>
      </c>
      <c r="H24" s="42">
        <f t="shared" si="0"/>
        <v>1530.5</v>
      </c>
      <c r="I24" s="43">
        <v>1</v>
      </c>
      <c r="J24" s="42">
        <f t="shared" si="1"/>
        <v>377</v>
      </c>
      <c r="K24" s="42">
        <f t="shared" si="2"/>
        <v>2684</v>
      </c>
      <c r="L24" s="42">
        <f t="shared" si="3"/>
        <v>1530.5</v>
      </c>
    </row>
    <row r="25" spans="1:12">
      <c r="A25" s="40">
        <v>20</v>
      </c>
      <c r="B25" s="40" t="s">
        <v>162</v>
      </c>
      <c r="C25" s="40" t="s">
        <v>136</v>
      </c>
      <c r="D25" s="40" t="s">
        <v>90</v>
      </c>
      <c r="E25" s="41">
        <v>500</v>
      </c>
      <c r="F25" s="41">
        <v>378</v>
      </c>
      <c r="G25" s="41">
        <v>2344</v>
      </c>
      <c r="H25" s="42">
        <f t="shared" si="0"/>
        <v>1361</v>
      </c>
      <c r="I25" s="43">
        <v>1</v>
      </c>
      <c r="J25" s="42">
        <f t="shared" si="1"/>
        <v>378</v>
      </c>
      <c r="K25" s="42">
        <f t="shared" si="2"/>
        <v>2344</v>
      </c>
      <c r="L25" s="42">
        <f t="shared" si="3"/>
        <v>1361</v>
      </c>
    </row>
    <row r="26" spans="1:12">
      <c r="A26" s="40">
        <v>21</v>
      </c>
      <c r="B26" s="40" t="s">
        <v>163</v>
      </c>
      <c r="C26" s="40" t="s">
        <v>136</v>
      </c>
      <c r="D26" s="40" t="s">
        <v>95</v>
      </c>
      <c r="E26" s="41">
        <v>500</v>
      </c>
      <c r="F26" s="41">
        <v>646</v>
      </c>
      <c r="G26" s="41">
        <v>3899</v>
      </c>
      <c r="H26" s="42">
        <f t="shared" si="0"/>
        <v>2272.5</v>
      </c>
      <c r="I26" s="43">
        <v>1</v>
      </c>
      <c r="J26" s="42">
        <f t="shared" si="1"/>
        <v>646</v>
      </c>
      <c r="K26" s="42">
        <f t="shared" si="2"/>
        <v>3899</v>
      </c>
      <c r="L26" s="42">
        <f t="shared" si="3"/>
        <v>2272.5</v>
      </c>
    </row>
    <row r="27" spans="1:12">
      <c r="A27" s="40">
        <v>22</v>
      </c>
      <c r="B27" s="40" t="s">
        <v>164</v>
      </c>
      <c r="C27" s="40" t="s">
        <v>136</v>
      </c>
      <c r="D27" s="40" t="s">
        <v>95</v>
      </c>
      <c r="E27" s="41">
        <v>500</v>
      </c>
      <c r="F27" s="41">
        <v>446</v>
      </c>
      <c r="G27" s="41">
        <v>3868</v>
      </c>
      <c r="H27" s="42">
        <f t="shared" si="0"/>
        <v>2157</v>
      </c>
      <c r="I27" s="43">
        <v>1</v>
      </c>
      <c r="J27" s="42">
        <f t="shared" si="1"/>
        <v>446</v>
      </c>
      <c r="K27" s="42">
        <f t="shared" si="2"/>
        <v>3868</v>
      </c>
      <c r="L27" s="42">
        <f t="shared" si="3"/>
        <v>2157</v>
      </c>
    </row>
    <row r="28" spans="1:12">
      <c r="A28" s="40">
        <v>23</v>
      </c>
      <c r="B28" s="40" t="s">
        <v>165</v>
      </c>
      <c r="C28" s="40" t="s">
        <v>166</v>
      </c>
      <c r="D28" s="40" t="s">
        <v>91</v>
      </c>
      <c r="E28" s="41">
        <v>500</v>
      </c>
      <c r="F28" s="41">
        <v>734</v>
      </c>
      <c r="G28" s="41">
        <v>2580</v>
      </c>
      <c r="H28" s="42">
        <f t="shared" si="0"/>
        <v>1657</v>
      </c>
      <c r="I28" s="43">
        <v>1</v>
      </c>
      <c r="J28" s="42">
        <f t="shared" si="1"/>
        <v>734</v>
      </c>
      <c r="K28" s="42">
        <f t="shared" si="2"/>
        <v>2580</v>
      </c>
      <c r="L28" s="42">
        <f t="shared" si="3"/>
        <v>1657</v>
      </c>
    </row>
    <row r="29" spans="1:12">
      <c r="A29" s="40">
        <v>24</v>
      </c>
      <c r="B29" s="40" t="s">
        <v>167</v>
      </c>
      <c r="C29" s="40" t="s">
        <v>136</v>
      </c>
      <c r="D29" s="40" t="s">
        <v>88</v>
      </c>
      <c r="E29" s="41">
        <v>500</v>
      </c>
      <c r="F29" s="41">
        <v>378</v>
      </c>
      <c r="G29" s="41">
        <v>1984</v>
      </c>
      <c r="H29" s="42">
        <f t="shared" si="0"/>
        <v>1181</v>
      </c>
      <c r="I29" s="43">
        <v>1</v>
      </c>
      <c r="J29" s="42">
        <f t="shared" si="1"/>
        <v>378</v>
      </c>
      <c r="K29" s="42">
        <f t="shared" si="2"/>
        <v>1984</v>
      </c>
      <c r="L29" s="42">
        <f t="shared" si="3"/>
        <v>1181</v>
      </c>
    </row>
    <row r="30" spans="1:12">
      <c r="A30" s="40">
        <v>25</v>
      </c>
      <c r="B30" s="40" t="s">
        <v>168</v>
      </c>
      <c r="C30" s="40" t="s">
        <v>136</v>
      </c>
      <c r="D30" s="40" t="s">
        <v>90</v>
      </c>
      <c r="E30" s="41">
        <v>500</v>
      </c>
      <c r="F30" s="41">
        <v>447</v>
      </c>
      <c r="G30" s="41">
        <v>1911</v>
      </c>
      <c r="H30" s="42">
        <f t="shared" si="0"/>
        <v>1179</v>
      </c>
      <c r="I30" s="43">
        <v>1</v>
      </c>
      <c r="J30" s="42">
        <f t="shared" si="1"/>
        <v>447</v>
      </c>
      <c r="K30" s="42">
        <f t="shared" si="2"/>
        <v>1911</v>
      </c>
      <c r="L30" s="42">
        <f t="shared" si="3"/>
        <v>1179</v>
      </c>
    </row>
    <row r="31" spans="1:12">
      <c r="A31" s="40">
        <v>26</v>
      </c>
      <c r="B31" s="40" t="s">
        <v>169</v>
      </c>
      <c r="C31" s="40" t="s">
        <v>136</v>
      </c>
      <c r="D31" s="40" t="s">
        <v>92</v>
      </c>
      <c r="E31" s="41">
        <v>500</v>
      </c>
      <c r="F31" s="41">
        <v>498</v>
      </c>
      <c r="G31" s="41">
        <v>1902</v>
      </c>
      <c r="H31" s="42">
        <f t="shared" si="0"/>
        <v>1200</v>
      </c>
      <c r="I31" s="43">
        <v>1</v>
      </c>
      <c r="J31" s="42">
        <f t="shared" si="1"/>
        <v>498</v>
      </c>
      <c r="K31" s="42">
        <f t="shared" si="2"/>
        <v>1902</v>
      </c>
      <c r="L31" s="42">
        <f t="shared" si="3"/>
        <v>1200</v>
      </c>
    </row>
    <row r="32" spans="1:12">
      <c r="A32" s="40">
        <v>27</v>
      </c>
      <c r="B32" s="40" t="s">
        <v>170</v>
      </c>
      <c r="C32" s="40" t="s">
        <v>136</v>
      </c>
      <c r="D32" s="40" t="s">
        <v>92</v>
      </c>
      <c r="E32" s="41">
        <v>500</v>
      </c>
      <c r="F32" s="41">
        <v>447</v>
      </c>
      <c r="G32" s="41">
        <v>2522</v>
      </c>
      <c r="H32" s="42">
        <f t="shared" si="0"/>
        <v>1484.5</v>
      </c>
      <c r="I32" s="43">
        <v>1</v>
      </c>
      <c r="J32" s="42">
        <f t="shared" si="1"/>
        <v>447</v>
      </c>
      <c r="K32" s="42">
        <f t="shared" si="2"/>
        <v>2522</v>
      </c>
      <c r="L32" s="42">
        <f t="shared" si="3"/>
        <v>1484.5</v>
      </c>
    </row>
    <row r="33" spans="1:12">
      <c r="A33" s="40">
        <v>28</v>
      </c>
      <c r="B33" s="40" t="s">
        <v>171</v>
      </c>
      <c r="C33" s="40" t="s">
        <v>136</v>
      </c>
      <c r="D33" s="40" t="s">
        <v>92</v>
      </c>
      <c r="E33" s="41">
        <v>500</v>
      </c>
      <c r="F33" s="41">
        <v>375</v>
      </c>
      <c r="G33" s="41">
        <v>2166</v>
      </c>
      <c r="H33" s="42">
        <f t="shared" si="0"/>
        <v>1270.5</v>
      </c>
      <c r="I33" s="43">
        <v>1</v>
      </c>
      <c r="J33" s="42">
        <f t="shared" si="1"/>
        <v>375</v>
      </c>
      <c r="K33" s="42">
        <f t="shared" si="2"/>
        <v>2166</v>
      </c>
      <c r="L33" s="42">
        <f t="shared" si="3"/>
        <v>1270.5</v>
      </c>
    </row>
    <row r="34" spans="1:12">
      <c r="A34" s="40">
        <v>29</v>
      </c>
      <c r="B34" s="40" t="s">
        <v>172</v>
      </c>
      <c r="C34" s="40" t="s">
        <v>136</v>
      </c>
      <c r="D34" s="40" t="s">
        <v>88</v>
      </c>
      <c r="E34" s="41">
        <v>500</v>
      </c>
      <c r="F34" s="41">
        <v>346</v>
      </c>
      <c r="G34" s="41">
        <v>2239</v>
      </c>
      <c r="H34" s="42">
        <f t="shared" si="0"/>
        <v>1292.5</v>
      </c>
      <c r="I34" s="43">
        <v>1</v>
      </c>
      <c r="J34" s="42">
        <f t="shared" si="1"/>
        <v>346</v>
      </c>
      <c r="K34" s="42">
        <f t="shared" si="2"/>
        <v>2239</v>
      </c>
      <c r="L34" s="42">
        <f t="shared" si="3"/>
        <v>1292.5</v>
      </c>
    </row>
    <row r="35" spans="1:12">
      <c r="A35" s="40">
        <v>30</v>
      </c>
      <c r="B35" s="40" t="s">
        <v>173</v>
      </c>
      <c r="C35" s="40" t="s">
        <v>166</v>
      </c>
      <c r="D35" s="40" t="s">
        <v>91</v>
      </c>
      <c r="E35" s="41">
        <v>500</v>
      </c>
      <c r="F35" s="41">
        <v>1571</v>
      </c>
      <c r="G35" s="41">
        <v>10926</v>
      </c>
      <c r="H35" s="42">
        <f t="shared" si="0"/>
        <v>6248.5</v>
      </c>
      <c r="I35" s="43">
        <v>1</v>
      </c>
      <c r="J35" s="42">
        <f t="shared" si="1"/>
        <v>1571</v>
      </c>
      <c r="K35" s="42">
        <f t="shared" si="2"/>
        <v>10926</v>
      </c>
      <c r="L35" s="42">
        <f t="shared" si="3"/>
        <v>6248.5</v>
      </c>
    </row>
    <row r="36" spans="1:12">
      <c r="A36" s="40">
        <v>31</v>
      </c>
      <c r="B36" s="40" t="s">
        <v>174</v>
      </c>
      <c r="C36" s="40" t="s">
        <v>136</v>
      </c>
      <c r="D36" s="40" t="s">
        <v>88</v>
      </c>
      <c r="E36" s="41">
        <v>500</v>
      </c>
      <c r="F36" s="41">
        <v>761</v>
      </c>
      <c r="G36" s="41">
        <v>2690</v>
      </c>
      <c r="H36" s="42">
        <f t="shared" si="0"/>
        <v>1725.5</v>
      </c>
      <c r="I36" s="43">
        <v>1</v>
      </c>
      <c r="J36" s="42">
        <f t="shared" si="1"/>
        <v>761</v>
      </c>
      <c r="K36" s="42">
        <f t="shared" si="2"/>
        <v>2690</v>
      </c>
      <c r="L36" s="42">
        <f t="shared" si="3"/>
        <v>1725.5</v>
      </c>
    </row>
    <row r="37" spans="1:12">
      <c r="A37" s="40">
        <v>32</v>
      </c>
      <c r="B37" s="40" t="s">
        <v>175</v>
      </c>
      <c r="C37" s="40" t="s">
        <v>136</v>
      </c>
      <c r="D37" s="40" t="s">
        <v>88</v>
      </c>
      <c r="E37" s="41">
        <v>500</v>
      </c>
      <c r="F37" s="41">
        <v>672</v>
      </c>
      <c r="G37" s="41">
        <v>2685</v>
      </c>
      <c r="H37" s="42">
        <f t="shared" si="0"/>
        <v>1678.5</v>
      </c>
      <c r="I37" s="43">
        <v>1</v>
      </c>
      <c r="J37" s="42">
        <f t="shared" si="1"/>
        <v>672</v>
      </c>
      <c r="K37" s="42">
        <f t="shared" si="2"/>
        <v>2685</v>
      </c>
      <c r="L37" s="42">
        <f t="shared" si="3"/>
        <v>1678.5</v>
      </c>
    </row>
    <row r="38" spans="1:12">
      <c r="A38" s="40">
        <v>33</v>
      </c>
      <c r="B38" s="40" t="s">
        <v>176</v>
      </c>
      <c r="C38" s="40" t="s">
        <v>136</v>
      </c>
      <c r="D38" s="40" t="s">
        <v>88</v>
      </c>
      <c r="E38" s="41">
        <v>500</v>
      </c>
      <c r="F38" s="41">
        <v>761</v>
      </c>
      <c r="G38" s="41">
        <v>2690</v>
      </c>
      <c r="H38" s="42">
        <f t="shared" ref="H38:H69" si="4">AVERAGE(F38,G38)</f>
        <v>1725.5</v>
      </c>
      <c r="I38" s="43">
        <v>1</v>
      </c>
      <c r="J38" s="42">
        <f t="shared" ref="J38:J69" si="5">IF($I38=1,F38,"")</f>
        <v>761</v>
      </c>
      <c r="K38" s="42">
        <f t="shared" ref="K38:K69" si="6">IF($I38=1,G38,"")</f>
        <v>2690</v>
      </c>
      <c r="L38" s="42">
        <f t="shared" ref="L38:L69" si="7">IF($I38=1,H38,"")</f>
        <v>1725.5</v>
      </c>
    </row>
    <row r="39" spans="1:12">
      <c r="A39" s="40">
        <v>34</v>
      </c>
      <c r="B39" s="40" t="s">
        <v>177</v>
      </c>
      <c r="C39" s="40" t="s">
        <v>136</v>
      </c>
      <c r="D39" s="40" t="s">
        <v>88</v>
      </c>
      <c r="E39" s="41">
        <v>500</v>
      </c>
      <c r="F39" s="41">
        <v>672</v>
      </c>
      <c r="G39" s="41">
        <v>2685</v>
      </c>
      <c r="H39" s="42">
        <f t="shared" si="4"/>
        <v>1678.5</v>
      </c>
      <c r="I39" s="43">
        <v>1</v>
      </c>
      <c r="J39" s="42">
        <f t="shared" si="5"/>
        <v>672</v>
      </c>
      <c r="K39" s="42">
        <f t="shared" si="6"/>
        <v>2685</v>
      </c>
      <c r="L39" s="42">
        <f t="shared" si="7"/>
        <v>1678.5</v>
      </c>
    </row>
    <row r="40" spans="1:12">
      <c r="A40" s="40">
        <v>35</v>
      </c>
      <c r="B40" s="40" t="s">
        <v>178</v>
      </c>
      <c r="C40" s="40" t="s">
        <v>136</v>
      </c>
      <c r="D40" s="40" t="s">
        <v>92</v>
      </c>
      <c r="E40" s="41">
        <v>500</v>
      </c>
      <c r="F40" s="41">
        <v>298</v>
      </c>
      <c r="G40" s="41">
        <v>793</v>
      </c>
      <c r="H40" s="42">
        <f t="shared" si="4"/>
        <v>545.5</v>
      </c>
      <c r="I40" s="43">
        <v>1</v>
      </c>
      <c r="J40" s="42">
        <f t="shared" si="5"/>
        <v>298</v>
      </c>
      <c r="K40" s="42">
        <f t="shared" si="6"/>
        <v>793</v>
      </c>
      <c r="L40" s="42">
        <f t="shared" si="7"/>
        <v>545.5</v>
      </c>
    </row>
    <row r="41" spans="1:12">
      <c r="A41" s="40">
        <v>36</v>
      </c>
      <c r="B41" s="40" t="s">
        <v>179</v>
      </c>
      <c r="C41" s="40" t="s">
        <v>136</v>
      </c>
      <c r="D41" s="40" t="s">
        <v>88</v>
      </c>
      <c r="E41" s="41">
        <v>500</v>
      </c>
      <c r="F41" s="41">
        <v>334</v>
      </c>
      <c r="G41" s="41">
        <v>3853</v>
      </c>
      <c r="H41" s="42">
        <f t="shared" si="4"/>
        <v>2093.5</v>
      </c>
      <c r="I41" s="43">
        <v>1</v>
      </c>
      <c r="J41" s="42">
        <f t="shared" si="5"/>
        <v>334</v>
      </c>
      <c r="K41" s="42">
        <f t="shared" si="6"/>
        <v>3853</v>
      </c>
      <c r="L41" s="42">
        <f t="shared" si="7"/>
        <v>2093.5</v>
      </c>
    </row>
    <row r="42" spans="1:12">
      <c r="A42" s="40">
        <v>37</v>
      </c>
      <c r="B42" s="40" t="s">
        <v>180</v>
      </c>
      <c r="C42" s="40" t="s">
        <v>136</v>
      </c>
      <c r="D42" s="40" t="s">
        <v>93</v>
      </c>
      <c r="E42" s="41">
        <v>500</v>
      </c>
      <c r="F42" s="41">
        <v>610</v>
      </c>
      <c r="G42" s="41">
        <v>2974</v>
      </c>
      <c r="H42" s="42">
        <f t="shared" si="4"/>
        <v>1792</v>
      </c>
      <c r="I42" s="43">
        <v>1</v>
      </c>
      <c r="J42" s="42">
        <f t="shared" si="5"/>
        <v>610</v>
      </c>
      <c r="K42" s="42">
        <f t="shared" si="6"/>
        <v>2974</v>
      </c>
      <c r="L42" s="42">
        <f t="shared" si="7"/>
        <v>1792</v>
      </c>
    </row>
    <row r="43" spans="1:12">
      <c r="A43" s="40">
        <v>38</v>
      </c>
      <c r="B43" s="40" t="s">
        <v>181</v>
      </c>
      <c r="C43" s="40" t="s">
        <v>136</v>
      </c>
      <c r="D43" s="40" t="s">
        <v>93</v>
      </c>
      <c r="E43" s="41">
        <v>500</v>
      </c>
      <c r="F43" s="41">
        <v>390</v>
      </c>
      <c r="G43" s="41">
        <v>2600</v>
      </c>
      <c r="H43" s="42">
        <f t="shared" si="4"/>
        <v>1495</v>
      </c>
      <c r="I43" s="43">
        <v>1</v>
      </c>
      <c r="J43" s="42">
        <f t="shared" si="5"/>
        <v>390</v>
      </c>
      <c r="K43" s="42">
        <f t="shared" si="6"/>
        <v>2600</v>
      </c>
      <c r="L43" s="42">
        <f t="shared" si="7"/>
        <v>1495</v>
      </c>
    </row>
    <row r="44" spans="1:12">
      <c r="A44" s="40">
        <v>39</v>
      </c>
      <c r="B44" s="40" t="s">
        <v>182</v>
      </c>
      <c r="C44" s="40" t="s">
        <v>136</v>
      </c>
      <c r="D44" s="40" t="s">
        <v>93</v>
      </c>
      <c r="E44" s="41">
        <v>500</v>
      </c>
      <c r="F44" s="41">
        <v>620</v>
      </c>
      <c r="G44" s="41">
        <v>2487</v>
      </c>
      <c r="H44" s="42">
        <f t="shared" si="4"/>
        <v>1553.5</v>
      </c>
      <c r="I44" s="43">
        <v>1</v>
      </c>
      <c r="J44" s="42">
        <f t="shared" si="5"/>
        <v>620</v>
      </c>
      <c r="K44" s="42">
        <f t="shared" si="6"/>
        <v>2487</v>
      </c>
      <c r="L44" s="42">
        <f t="shared" si="7"/>
        <v>1553.5</v>
      </c>
    </row>
    <row r="45" spans="1:12">
      <c r="A45" s="40">
        <v>40</v>
      </c>
      <c r="B45" s="40" t="s">
        <v>183</v>
      </c>
      <c r="C45" s="40" t="s">
        <v>166</v>
      </c>
      <c r="D45" s="40" t="s">
        <v>91</v>
      </c>
      <c r="E45" s="41">
        <v>500</v>
      </c>
      <c r="F45" s="41">
        <v>2490</v>
      </c>
      <c r="G45" s="41">
        <v>15706</v>
      </c>
      <c r="H45" s="42">
        <f t="shared" si="4"/>
        <v>9098</v>
      </c>
      <c r="I45" s="43">
        <v>0</v>
      </c>
      <c r="J45" s="42" t="str">
        <f t="shared" si="5"/>
        <v/>
      </c>
      <c r="K45" s="42" t="str">
        <f t="shared" si="6"/>
        <v/>
      </c>
      <c r="L45" s="42" t="str">
        <f t="shared" si="7"/>
        <v/>
      </c>
    </row>
    <row r="46" spans="1:12">
      <c r="A46" s="40">
        <v>41</v>
      </c>
      <c r="B46" s="40" t="s">
        <v>184</v>
      </c>
      <c r="C46" s="40" t="s">
        <v>166</v>
      </c>
      <c r="D46" s="40" t="s">
        <v>94</v>
      </c>
      <c r="E46" s="41">
        <v>500</v>
      </c>
      <c r="F46" s="41">
        <v>353</v>
      </c>
      <c r="G46" s="41">
        <v>2881</v>
      </c>
      <c r="H46" s="42">
        <f t="shared" si="4"/>
        <v>1617</v>
      </c>
      <c r="I46" s="43">
        <v>1</v>
      </c>
      <c r="J46" s="42">
        <f t="shared" si="5"/>
        <v>353</v>
      </c>
      <c r="K46" s="42">
        <f t="shared" si="6"/>
        <v>2881</v>
      </c>
      <c r="L46" s="42">
        <f t="shared" si="7"/>
        <v>1617</v>
      </c>
    </row>
    <row r="47" spans="1:12">
      <c r="A47" s="40">
        <v>42</v>
      </c>
      <c r="B47" s="40" t="s">
        <v>185</v>
      </c>
      <c r="C47" s="40" t="s">
        <v>166</v>
      </c>
      <c r="D47" s="40" t="s">
        <v>94</v>
      </c>
      <c r="E47" s="41">
        <v>500</v>
      </c>
      <c r="F47" s="41">
        <v>672</v>
      </c>
      <c r="G47" s="41">
        <v>3325</v>
      </c>
      <c r="H47" s="42">
        <f t="shared" si="4"/>
        <v>1998.5</v>
      </c>
      <c r="I47" s="43">
        <v>1</v>
      </c>
      <c r="J47" s="42">
        <f t="shared" si="5"/>
        <v>672</v>
      </c>
      <c r="K47" s="42">
        <f t="shared" si="6"/>
        <v>3325</v>
      </c>
      <c r="L47" s="42">
        <f t="shared" si="7"/>
        <v>1998.5</v>
      </c>
    </row>
    <row r="48" spans="1:12">
      <c r="A48" s="40">
        <v>43</v>
      </c>
      <c r="B48" s="40" t="s">
        <v>186</v>
      </c>
      <c r="C48" s="40" t="s">
        <v>136</v>
      </c>
      <c r="D48" s="40" t="s">
        <v>88</v>
      </c>
      <c r="E48" s="41">
        <v>500</v>
      </c>
      <c r="F48" s="41">
        <v>346</v>
      </c>
      <c r="G48" s="41">
        <v>2402</v>
      </c>
      <c r="H48" s="42">
        <f t="shared" si="4"/>
        <v>1374</v>
      </c>
      <c r="I48" s="43">
        <v>1</v>
      </c>
      <c r="J48" s="42">
        <f t="shared" si="5"/>
        <v>346</v>
      </c>
      <c r="K48" s="42">
        <f t="shared" si="6"/>
        <v>2402</v>
      </c>
      <c r="L48" s="42">
        <f t="shared" si="7"/>
        <v>1374</v>
      </c>
    </row>
    <row r="49" spans="1:12">
      <c r="A49" s="40">
        <v>44</v>
      </c>
      <c r="B49" s="40" t="s">
        <v>187</v>
      </c>
      <c r="C49" s="40" t="s">
        <v>136</v>
      </c>
      <c r="D49" s="40" t="s">
        <v>88</v>
      </c>
      <c r="E49" s="41">
        <v>500</v>
      </c>
      <c r="F49" s="41">
        <v>596</v>
      </c>
      <c r="G49" s="41">
        <v>2198</v>
      </c>
      <c r="H49" s="42">
        <f t="shared" si="4"/>
        <v>1397</v>
      </c>
      <c r="I49" s="43">
        <v>1</v>
      </c>
      <c r="J49" s="42">
        <f t="shared" si="5"/>
        <v>596</v>
      </c>
      <c r="K49" s="42">
        <f t="shared" si="6"/>
        <v>2198</v>
      </c>
      <c r="L49" s="42">
        <f t="shared" si="7"/>
        <v>1397</v>
      </c>
    </row>
    <row r="50" spans="1:12">
      <c r="A50" s="40">
        <v>45</v>
      </c>
      <c r="B50" s="40" t="s">
        <v>188</v>
      </c>
      <c r="C50" s="40" t="s">
        <v>136</v>
      </c>
      <c r="D50" s="40" t="s">
        <v>88</v>
      </c>
      <c r="E50" s="41">
        <v>500</v>
      </c>
      <c r="F50" s="41">
        <v>446</v>
      </c>
      <c r="G50" s="41">
        <v>6041</v>
      </c>
      <c r="H50" s="42">
        <f t="shared" si="4"/>
        <v>3243.5</v>
      </c>
      <c r="I50" s="43">
        <v>1</v>
      </c>
      <c r="J50" s="42">
        <f t="shared" si="5"/>
        <v>446</v>
      </c>
      <c r="K50" s="42">
        <f t="shared" si="6"/>
        <v>6041</v>
      </c>
      <c r="L50" s="42">
        <f t="shared" si="7"/>
        <v>3243.5</v>
      </c>
    </row>
    <row r="51" spans="1:12">
      <c r="A51" s="40">
        <v>46</v>
      </c>
      <c r="B51" s="40" t="s">
        <v>189</v>
      </c>
      <c r="C51" s="40" t="s">
        <v>136</v>
      </c>
      <c r="D51" s="40" t="s">
        <v>90</v>
      </c>
      <c r="E51" s="41">
        <v>500</v>
      </c>
      <c r="F51" s="41">
        <v>447</v>
      </c>
      <c r="G51" s="41">
        <v>1641</v>
      </c>
      <c r="H51" s="42">
        <f t="shared" si="4"/>
        <v>1044</v>
      </c>
      <c r="I51" s="43">
        <v>1</v>
      </c>
      <c r="J51" s="42">
        <f t="shared" si="5"/>
        <v>447</v>
      </c>
      <c r="K51" s="42">
        <f t="shared" si="6"/>
        <v>1641</v>
      </c>
      <c r="L51" s="42">
        <f t="shared" si="7"/>
        <v>1044</v>
      </c>
    </row>
    <row r="52" spans="1:12">
      <c r="A52" s="40">
        <v>47</v>
      </c>
      <c r="B52" s="40" t="s">
        <v>190</v>
      </c>
      <c r="C52" s="40" t="s">
        <v>136</v>
      </c>
      <c r="D52" s="40" t="s">
        <v>89</v>
      </c>
      <c r="E52" s="41">
        <v>500</v>
      </c>
      <c r="F52" s="41">
        <v>375</v>
      </c>
      <c r="G52" s="41">
        <v>1535</v>
      </c>
      <c r="H52" s="42">
        <f t="shared" si="4"/>
        <v>955</v>
      </c>
      <c r="I52" s="43">
        <v>1</v>
      </c>
      <c r="J52" s="42">
        <f t="shared" si="5"/>
        <v>375</v>
      </c>
      <c r="K52" s="42">
        <f t="shared" si="6"/>
        <v>1535</v>
      </c>
      <c r="L52" s="42">
        <f t="shared" si="7"/>
        <v>955</v>
      </c>
    </row>
    <row r="53" spans="1:12">
      <c r="A53" s="40">
        <v>48</v>
      </c>
      <c r="B53" s="40" t="s">
        <v>191</v>
      </c>
      <c r="C53" s="40" t="s">
        <v>136</v>
      </c>
      <c r="D53" s="40" t="s">
        <v>89</v>
      </c>
      <c r="E53" s="41">
        <v>500</v>
      </c>
      <c r="F53" s="41">
        <v>446</v>
      </c>
      <c r="G53" s="41">
        <v>2266</v>
      </c>
      <c r="H53" s="42">
        <f t="shared" si="4"/>
        <v>1356</v>
      </c>
      <c r="I53" s="43">
        <v>1</v>
      </c>
      <c r="J53" s="42">
        <f t="shared" si="5"/>
        <v>446</v>
      </c>
      <c r="K53" s="42">
        <f t="shared" si="6"/>
        <v>2266</v>
      </c>
      <c r="L53" s="42">
        <f t="shared" si="7"/>
        <v>1356</v>
      </c>
    </row>
    <row r="54" spans="1:12">
      <c r="A54" s="40">
        <v>49</v>
      </c>
      <c r="B54" s="40" t="s">
        <v>192</v>
      </c>
      <c r="C54" s="40" t="s">
        <v>136</v>
      </c>
      <c r="D54" s="40" t="s">
        <v>90</v>
      </c>
      <c r="E54" s="41">
        <v>500</v>
      </c>
      <c r="F54" s="41">
        <v>378</v>
      </c>
      <c r="G54" s="41">
        <v>2676</v>
      </c>
      <c r="H54" s="42">
        <f t="shared" si="4"/>
        <v>1527</v>
      </c>
      <c r="I54" s="43">
        <v>1</v>
      </c>
      <c r="J54" s="42">
        <f t="shared" si="5"/>
        <v>378</v>
      </c>
      <c r="K54" s="42">
        <f t="shared" si="6"/>
        <v>2676</v>
      </c>
      <c r="L54" s="42">
        <f t="shared" si="7"/>
        <v>1527</v>
      </c>
    </row>
    <row r="55" spans="1:12">
      <c r="A55" s="40">
        <v>50</v>
      </c>
      <c r="B55" s="40" t="s">
        <v>193</v>
      </c>
      <c r="C55" s="40" t="s">
        <v>136</v>
      </c>
      <c r="D55" s="40" t="s">
        <v>88</v>
      </c>
      <c r="E55" s="41">
        <v>500</v>
      </c>
      <c r="F55" s="41">
        <v>446</v>
      </c>
      <c r="G55" s="41">
        <v>1641</v>
      </c>
      <c r="H55" s="42">
        <f t="shared" si="4"/>
        <v>1043.5</v>
      </c>
      <c r="I55" s="43">
        <v>1</v>
      </c>
      <c r="J55" s="42">
        <f t="shared" si="5"/>
        <v>446</v>
      </c>
      <c r="K55" s="42">
        <f t="shared" si="6"/>
        <v>1641</v>
      </c>
      <c r="L55" s="42">
        <f t="shared" si="7"/>
        <v>1043.5</v>
      </c>
    </row>
    <row r="56" spans="1:12">
      <c r="A56" s="40">
        <v>51</v>
      </c>
      <c r="B56" s="40" t="s">
        <v>194</v>
      </c>
      <c r="C56" s="40" t="s">
        <v>136</v>
      </c>
      <c r="D56" s="40" t="s">
        <v>93</v>
      </c>
      <c r="E56" s="41">
        <v>500</v>
      </c>
      <c r="F56" s="41">
        <v>683</v>
      </c>
      <c r="G56" s="41">
        <v>2682</v>
      </c>
      <c r="H56" s="42">
        <f t="shared" si="4"/>
        <v>1682.5</v>
      </c>
      <c r="I56" s="43">
        <v>1</v>
      </c>
      <c r="J56" s="42">
        <f t="shared" si="5"/>
        <v>683</v>
      </c>
      <c r="K56" s="42">
        <f t="shared" si="6"/>
        <v>2682</v>
      </c>
      <c r="L56" s="42">
        <f t="shared" si="7"/>
        <v>1682.5</v>
      </c>
    </row>
    <row r="57" spans="1:12">
      <c r="A57" s="40">
        <v>52</v>
      </c>
      <c r="B57" s="40" t="s">
        <v>195</v>
      </c>
      <c r="C57" s="40" t="s">
        <v>136</v>
      </c>
      <c r="D57" s="40" t="s">
        <v>88</v>
      </c>
      <c r="E57" s="41">
        <v>500</v>
      </c>
      <c r="F57" s="41">
        <v>330</v>
      </c>
      <c r="G57" s="41">
        <v>2251</v>
      </c>
      <c r="H57" s="42">
        <f t="shared" si="4"/>
        <v>1290.5</v>
      </c>
      <c r="I57" s="43">
        <v>1</v>
      </c>
      <c r="J57" s="42">
        <f t="shared" si="5"/>
        <v>330</v>
      </c>
      <c r="K57" s="42">
        <f t="shared" si="6"/>
        <v>2251</v>
      </c>
      <c r="L57" s="42">
        <f t="shared" si="7"/>
        <v>1290.5</v>
      </c>
    </row>
    <row r="58" spans="1:12">
      <c r="A58" s="40">
        <v>53</v>
      </c>
      <c r="B58" s="40" t="s">
        <v>196</v>
      </c>
      <c r="C58" s="40" t="s">
        <v>136</v>
      </c>
      <c r="D58" s="40" t="s">
        <v>88</v>
      </c>
      <c r="E58" s="41">
        <v>500</v>
      </c>
      <c r="F58" s="41">
        <v>563</v>
      </c>
      <c r="G58" s="41">
        <v>2688</v>
      </c>
      <c r="H58" s="42">
        <f t="shared" si="4"/>
        <v>1625.5</v>
      </c>
      <c r="I58" s="43">
        <v>1</v>
      </c>
      <c r="J58" s="42">
        <f t="shared" si="5"/>
        <v>563</v>
      </c>
      <c r="K58" s="42">
        <f t="shared" si="6"/>
        <v>2688</v>
      </c>
      <c r="L58" s="42">
        <f t="shared" si="7"/>
        <v>1625.5</v>
      </c>
    </row>
    <row r="59" spans="1:12">
      <c r="A59" s="40">
        <v>54</v>
      </c>
      <c r="B59" s="40" t="s">
        <v>197</v>
      </c>
      <c r="C59" s="40" t="s">
        <v>136</v>
      </c>
      <c r="D59" s="40" t="s">
        <v>88</v>
      </c>
      <c r="E59" s="41">
        <v>500</v>
      </c>
      <c r="F59" s="41">
        <v>1106</v>
      </c>
      <c r="G59" s="41">
        <v>2973</v>
      </c>
      <c r="H59" s="42">
        <f t="shared" si="4"/>
        <v>2039.5</v>
      </c>
      <c r="I59" s="43">
        <v>1</v>
      </c>
      <c r="J59" s="42">
        <f t="shared" si="5"/>
        <v>1106</v>
      </c>
      <c r="K59" s="42">
        <f t="shared" si="6"/>
        <v>2973</v>
      </c>
      <c r="L59" s="42">
        <f t="shared" si="7"/>
        <v>2039.5</v>
      </c>
    </row>
    <row r="60" spans="1:12">
      <c r="A60" s="40">
        <v>55</v>
      </c>
      <c r="B60" s="40" t="s">
        <v>198</v>
      </c>
      <c r="C60" s="40" t="s">
        <v>136</v>
      </c>
      <c r="D60" s="40" t="s">
        <v>88</v>
      </c>
      <c r="E60" s="41">
        <v>500</v>
      </c>
      <c r="F60" s="41">
        <v>1106</v>
      </c>
      <c r="G60" s="41">
        <v>2973</v>
      </c>
      <c r="H60" s="42">
        <f t="shared" si="4"/>
        <v>2039.5</v>
      </c>
      <c r="I60" s="43">
        <v>1</v>
      </c>
      <c r="J60" s="42">
        <f t="shared" si="5"/>
        <v>1106</v>
      </c>
      <c r="K60" s="42">
        <f t="shared" si="6"/>
        <v>2973</v>
      </c>
      <c r="L60" s="42">
        <f t="shared" si="7"/>
        <v>2039.5</v>
      </c>
    </row>
    <row r="61" spans="1:12">
      <c r="A61" s="40">
        <v>56</v>
      </c>
      <c r="B61" s="40" t="s">
        <v>199</v>
      </c>
      <c r="C61" s="40" t="s">
        <v>136</v>
      </c>
      <c r="D61" s="40" t="s">
        <v>88</v>
      </c>
      <c r="E61" s="41">
        <v>500</v>
      </c>
      <c r="F61" s="41">
        <v>378</v>
      </c>
      <c r="G61" s="41">
        <v>3253</v>
      </c>
      <c r="H61" s="42">
        <f t="shared" si="4"/>
        <v>1815.5</v>
      </c>
      <c r="I61" s="43">
        <v>1</v>
      </c>
      <c r="J61" s="42">
        <f t="shared" si="5"/>
        <v>378</v>
      </c>
      <c r="K61" s="42">
        <f t="shared" si="6"/>
        <v>3253</v>
      </c>
      <c r="L61" s="42">
        <f t="shared" si="7"/>
        <v>1815.5</v>
      </c>
    </row>
    <row r="62" spans="1:12">
      <c r="A62" s="40">
        <v>57</v>
      </c>
      <c r="B62" s="40" t="s">
        <v>200</v>
      </c>
      <c r="C62" s="40" t="s">
        <v>136</v>
      </c>
      <c r="D62" s="40" t="s">
        <v>89</v>
      </c>
      <c r="E62" s="41">
        <v>500</v>
      </c>
      <c r="F62" s="41">
        <v>377</v>
      </c>
      <c r="G62" s="41">
        <v>2518</v>
      </c>
      <c r="H62" s="42">
        <f t="shared" si="4"/>
        <v>1447.5</v>
      </c>
      <c r="I62" s="43">
        <v>1</v>
      </c>
      <c r="J62" s="42">
        <f t="shared" si="5"/>
        <v>377</v>
      </c>
      <c r="K62" s="42">
        <f t="shared" si="6"/>
        <v>2518</v>
      </c>
      <c r="L62" s="42">
        <f t="shared" si="7"/>
        <v>1447.5</v>
      </c>
    </row>
    <row r="63" spans="1:12">
      <c r="A63" s="40">
        <v>58</v>
      </c>
      <c r="B63" s="40" t="s">
        <v>201</v>
      </c>
      <c r="C63" s="40" t="s">
        <v>136</v>
      </c>
      <c r="D63" s="40" t="s">
        <v>89</v>
      </c>
      <c r="E63" s="41">
        <v>500</v>
      </c>
      <c r="F63" s="41">
        <v>375</v>
      </c>
      <c r="G63" s="41">
        <v>1458</v>
      </c>
      <c r="H63" s="42">
        <f t="shared" si="4"/>
        <v>916.5</v>
      </c>
      <c r="I63" s="43">
        <v>1</v>
      </c>
      <c r="J63" s="42">
        <f t="shared" si="5"/>
        <v>375</v>
      </c>
      <c r="K63" s="42">
        <f t="shared" si="6"/>
        <v>1458</v>
      </c>
      <c r="L63" s="42">
        <f t="shared" si="7"/>
        <v>916.5</v>
      </c>
    </row>
    <row r="64" spans="1:12">
      <c r="A64" s="40">
        <v>59</v>
      </c>
      <c r="B64" s="40" t="s">
        <v>202</v>
      </c>
      <c r="C64" s="40" t="s">
        <v>166</v>
      </c>
      <c r="D64" s="40" t="s">
        <v>94</v>
      </c>
      <c r="E64" s="41">
        <v>500</v>
      </c>
      <c r="F64" s="41">
        <v>504</v>
      </c>
      <c r="G64" s="41">
        <v>2681</v>
      </c>
      <c r="H64" s="42">
        <f t="shared" si="4"/>
        <v>1592.5</v>
      </c>
      <c r="I64" s="43">
        <v>1</v>
      </c>
      <c r="J64" s="42">
        <f t="shared" si="5"/>
        <v>504</v>
      </c>
      <c r="K64" s="42">
        <f t="shared" si="6"/>
        <v>2681</v>
      </c>
      <c r="L64" s="42">
        <f t="shared" si="7"/>
        <v>1592.5</v>
      </c>
    </row>
    <row r="65" spans="1:12">
      <c r="A65" s="40">
        <v>60</v>
      </c>
      <c r="B65" s="40" t="s">
        <v>203</v>
      </c>
      <c r="C65" s="40" t="s">
        <v>166</v>
      </c>
      <c r="D65" s="40" t="s">
        <v>91</v>
      </c>
      <c r="E65" s="41">
        <v>500</v>
      </c>
      <c r="F65" s="41">
        <v>445</v>
      </c>
      <c r="G65" s="41">
        <v>2396</v>
      </c>
      <c r="H65" s="42">
        <f t="shared" si="4"/>
        <v>1420.5</v>
      </c>
      <c r="I65" s="43">
        <v>1</v>
      </c>
      <c r="J65" s="42">
        <f t="shared" si="5"/>
        <v>445</v>
      </c>
      <c r="K65" s="42">
        <f t="shared" si="6"/>
        <v>2396</v>
      </c>
      <c r="L65" s="42">
        <f t="shared" si="7"/>
        <v>1420.5</v>
      </c>
    </row>
    <row r="66" spans="1:12">
      <c r="A66" s="40">
        <v>61</v>
      </c>
      <c r="B66" s="40" t="s">
        <v>204</v>
      </c>
      <c r="C66" s="40" t="s">
        <v>136</v>
      </c>
      <c r="D66" s="40" t="s">
        <v>88</v>
      </c>
      <c r="E66" s="41">
        <v>500</v>
      </c>
      <c r="F66" s="41">
        <v>529</v>
      </c>
      <c r="G66" s="41">
        <v>2053</v>
      </c>
      <c r="H66" s="42">
        <f t="shared" si="4"/>
        <v>1291</v>
      </c>
      <c r="I66" s="43">
        <v>1</v>
      </c>
      <c r="J66" s="42">
        <f t="shared" si="5"/>
        <v>529</v>
      </c>
      <c r="K66" s="42">
        <f t="shared" si="6"/>
        <v>2053</v>
      </c>
      <c r="L66" s="42">
        <f t="shared" si="7"/>
        <v>1291</v>
      </c>
    </row>
    <row r="67" spans="1:12">
      <c r="A67" s="40">
        <v>62</v>
      </c>
      <c r="B67" s="40" t="s">
        <v>205</v>
      </c>
      <c r="C67" s="40" t="s">
        <v>136</v>
      </c>
      <c r="D67" s="40" t="s">
        <v>88</v>
      </c>
      <c r="E67" s="41">
        <v>500</v>
      </c>
      <c r="F67" s="41">
        <v>448</v>
      </c>
      <c r="G67" s="41">
        <v>2608</v>
      </c>
      <c r="H67" s="42">
        <f t="shared" si="4"/>
        <v>1528</v>
      </c>
      <c r="I67" s="43">
        <v>1</v>
      </c>
      <c r="J67" s="42">
        <f t="shared" si="5"/>
        <v>448</v>
      </c>
      <c r="K67" s="42">
        <f t="shared" si="6"/>
        <v>2608</v>
      </c>
      <c r="L67" s="42">
        <f t="shared" si="7"/>
        <v>1528</v>
      </c>
    </row>
    <row r="68" spans="1:12">
      <c r="A68" s="40">
        <v>63</v>
      </c>
      <c r="B68" s="40" t="s">
        <v>206</v>
      </c>
      <c r="C68" s="40" t="s">
        <v>136</v>
      </c>
      <c r="D68" s="40" t="s">
        <v>95</v>
      </c>
      <c r="E68" s="41">
        <v>500</v>
      </c>
      <c r="F68" s="41">
        <v>447</v>
      </c>
      <c r="G68" s="41">
        <v>2403</v>
      </c>
      <c r="H68" s="42">
        <f t="shared" si="4"/>
        <v>1425</v>
      </c>
      <c r="I68" s="43">
        <v>1</v>
      </c>
      <c r="J68" s="42">
        <f t="shared" si="5"/>
        <v>447</v>
      </c>
      <c r="K68" s="42">
        <f t="shared" si="6"/>
        <v>2403</v>
      </c>
      <c r="L68" s="42">
        <f t="shared" si="7"/>
        <v>1425</v>
      </c>
    </row>
    <row r="69" spans="1:12">
      <c r="A69" s="40">
        <v>64</v>
      </c>
      <c r="B69" s="40" t="s">
        <v>207</v>
      </c>
      <c r="C69" s="40" t="s">
        <v>136</v>
      </c>
      <c r="D69" s="40" t="s">
        <v>88</v>
      </c>
      <c r="E69" s="41">
        <v>500</v>
      </c>
      <c r="F69" s="41">
        <v>622</v>
      </c>
      <c r="G69" s="41">
        <v>3062</v>
      </c>
      <c r="H69" s="42">
        <f t="shared" si="4"/>
        <v>1842</v>
      </c>
      <c r="I69" s="43">
        <v>1</v>
      </c>
      <c r="J69" s="42">
        <f t="shared" si="5"/>
        <v>622</v>
      </c>
      <c r="K69" s="42">
        <f t="shared" si="6"/>
        <v>3062</v>
      </c>
      <c r="L69" s="42">
        <f t="shared" si="7"/>
        <v>1842</v>
      </c>
    </row>
    <row r="70" spans="1:12">
      <c r="A70" s="40">
        <v>65</v>
      </c>
      <c r="B70" s="40" t="s">
        <v>208</v>
      </c>
      <c r="C70" s="40" t="s">
        <v>136</v>
      </c>
      <c r="D70" s="40" t="s">
        <v>88</v>
      </c>
      <c r="E70" s="41">
        <v>500</v>
      </c>
      <c r="F70" s="41">
        <v>462</v>
      </c>
      <c r="G70" s="41">
        <v>2823</v>
      </c>
      <c r="H70" s="42">
        <f t="shared" ref="H70:H101" si="8">AVERAGE(F70,G70)</f>
        <v>1642.5</v>
      </c>
      <c r="I70" s="43">
        <v>1</v>
      </c>
      <c r="J70" s="42">
        <f t="shared" ref="J70:J101" si="9">IF($I70=1,F70,"")</f>
        <v>462</v>
      </c>
      <c r="K70" s="42">
        <f t="shared" ref="K70:K101" si="10">IF($I70=1,G70,"")</f>
        <v>2823</v>
      </c>
      <c r="L70" s="42">
        <f t="shared" ref="L70:L101" si="11">IF($I70=1,H70,"")</f>
        <v>1642.5</v>
      </c>
    </row>
    <row r="71" spans="1:12">
      <c r="A71" s="40">
        <v>66</v>
      </c>
      <c r="B71" s="40" t="s">
        <v>209</v>
      </c>
      <c r="C71" s="40" t="s">
        <v>136</v>
      </c>
      <c r="D71" s="40" t="s">
        <v>88</v>
      </c>
      <c r="E71" s="41">
        <v>500</v>
      </c>
      <c r="F71" s="41">
        <v>613</v>
      </c>
      <c r="G71" s="41">
        <v>2599</v>
      </c>
      <c r="H71" s="42">
        <f t="shared" si="8"/>
        <v>1606</v>
      </c>
      <c r="I71" s="43">
        <v>1</v>
      </c>
      <c r="J71" s="42">
        <f t="shared" si="9"/>
        <v>613</v>
      </c>
      <c r="K71" s="42">
        <f t="shared" si="10"/>
        <v>2599</v>
      </c>
      <c r="L71" s="42">
        <f t="shared" si="11"/>
        <v>1606</v>
      </c>
    </row>
    <row r="72" spans="1:12">
      <c r="A72" s="40">
        <v>67</v>
      </c>
      <c r="B72" s="40" t="s">
        <v>210</v>
      </c>
      <c r="C72" s="40" t="s">
        <v>166</v>
      </c>
      <c r="D72" s="40" t="s">
        <v>94</v>
      </c>
      <c r="E72" s="41">
        <v>500</v>
      </c>
      <c r="F72" s="41">
        <v>644</v>
      </c>
      <c r="G72" s="41">
        <v>3331</v>
      </c>
      <c r="H72" s="42">
        <f t="shared" si="8"/>
        <v>1987.5</v>
      </c>
      <c r="I72" s="43">
        <v>1</v>
      </c>
      <c r="J72" s="42">
        <f t="shared" si="9"/>
        <v>644</v>
      </c>
      <c r="K72" s="42">
        <f t="shared" si="10"/>
        <v>3331</v>
      </c>
      <c r="L72" s="42">
        <f t="shared" si="11"/>
        <v>1987.5</v>
      </c>
    </row>
    <row r="73" spans="1:12">
      <c r="A73" s="40">
        <v>68</v>
      </c>
      <c r="B73" s="40" t="s">
        <v>211</v>
      </c>
      <c r="C73" s="40" t="s">
        <v>136</v>
      </c>
      <c r="D73" s="40" t="s">
        <v>88</v>
      </c>
      <c r="E73" s="41">
        <v>500</v>
      </c>
      <c r="F73" s="41">
        <v>448</v>
      </c>
      <c r="G73" s="41">
        <v>2348</v>
      </c>
      <c r="H73" s="42">
        <f t="shared" si="8"/>
        <v>1398</v>
      </c>
      <c r="I73" s="43">
        <v>1</v>
      </c>
      <c r="J73" s="42">
        <f t="shared" si="9"/>
        <v>448</v>
      </c>
      <c r="K73" s="42">
        <f t="shared" si="10"/>
        <v>2348</v>
      </c>
      <c r="L73" s="42">
        <f t="shared" si="11"/>
        <v>1398</v>
      </c>
    </row>
    <row r="74" spans="1:12">
      <c r="A74" s="40">
        <v>69</v>
      </c>
      <c r="B74" s="40" t="s">
        <v>212</v>
      </c>
      <c r="C74" s="40" t="s">
        <v>136</v>
      </c>
      <c r="D74" s="40" t="s">
        <v>90</v>
      </c>
      <c r="E74" s="41">
        <v>500</v>
      </c>
      <c r="F74" s="41">
        <v>448</v>
      </c>
      <c r="G74" s="41">
        <v>3302</v>
      </c>
      <c r="H74" s="42">
        <f t="shared" si="8"/>
        <v>1875</v>
      </c>
      <c r="I74" s="43">
        <v>1</v>
      </c>
      <c r="J74" s="42">
        <f t="shared" si="9"/>
        <v>448</v>
      </c>
      <c r="K74" s="42">
        <f t="shared" si="10"/>
        <v>3302</v>
      </c>
      <c r="L74" s="42">
        <f t="shared" si="11"/>
        <v>1875</v>
      </c>
    </row>
    <row r="75" spans="1:12">
      <c r="A75" s="40">
        <v>70</v>
      </c>
      <c r="B75" s="40" t="s">
        <v>213</v>
      </c>
      <c r="C75" s="40" t="s">
        <v>136</v>
      </c>
      <c r="D75" s="40" t="s">
        <v>93</v>
      </c>
      <c r="E75" s="41">
        <v>500</v>
      </c>
      <c r="F75" s="41">
        <v>657</v>
      </c>
      <c r="G75" s="41">
        <v>4349</v>
      </c>
      <c r="H75" s="42">
        <f t="shared" si="8"/>
        <v>2503</v>
      </c>
      <c r="I75" s="43">
        <v>1</v>
      </c>
      <c r="J75" s="42">
        <f t="shared" si="9"/>
        <v>657</v>
      </c>
      <c r="K75" s="42">
        <f t="shared" si="10"/>
        <v>4349</v>
      </c>
      <c r="L75" s="42">
        <f t="shared" si="11"/>
        <v>2503</v>
      </c>
    </row>
    <row r="76" spans="1:12">
      <c r="A76" s="40">
        <v>71</v>
      </c>
      <c r="B76" s="40" t="s">
        <v>214</v>
      </c>
      <c r="C76" s="40" t="s">
        <v>136</v>
      </c>
      <c r="D76" s="40" t="s">
        <v>89</v>
      </c>
      <c r="E76" s="41">
        <v>500</v>
      </c>
      <c r="F76" s="41">
        <v>447</v>
      </c>
      <c r="G76" s="41">
        <v>1645</v>
      </c>
      <c r="H76" s="42">
        <f t="shared" si="8"/>
        <v>1046</v>
      </c>
      <c r="I76" s="43">
        <v>1</v>
      </c>
      <c r="J76" s="42">
        <f t="shared" si="9"/>
        <v>447</v>
      </c>
      <c r="K76" s="42">
        <f t="shared" si="10"/>
        <v>1645</v>
      </c>
      <c r="L76" s="42">
        <f t="shared" si="11"/>
        <v>1046</v>
      </c>
    </row>
    <row r="77" spans="1:12">
      <c r="A77" s="40">
        <v>72</v>
      </c>
      <c r="B77" s="40" t="s">
        <v>215</v>
      </c>
      <c r="C77" s="40" t="s">
        <v>136</v>
      </c>
      <c r="D77" s="40" t="s">
        <v>90</v>
      </c>
      <c r="E77" s="41">
        <v>500</v>
      </c>
      <c r="F77" s="41">
        <v>612</v>
      </c>
      <c r="G77" s="41">
        <v>3335</v>
      </c>
      <c r="H77" s="42">
        <f t="shared" si="8"/>
        <v>1973.5</v>
      </c>
      <c r="I77" s="43">
        <v>1</v>
      </c>
      <c r="J77" s="42">
        <f t="shared" si="9"/>
        <v>612</v>
      </c>
      <c r="K77" s="42">
        <f t="shared" si="10"/>
        <v>3335</v>
      </c>
      <c r="L77" s="42">
        <f t="shared" si="11"/>
        <v>1973.5</v>
      </c>
    </row>
    <row r="78" spans="1:12">
      <c r="A78" s="40">
        <v>73</v>
      </c>
      <c r="B78" s="40" t="s">
        <v>216</v>
      </c>
      <c r="C78" s="40" t="s">
        <v>136</v>
      </c>
      <c r="D78" s="40" t="s">
        <v>90</v>
      </c>
      <c r="E78" s="41">
        <v>500</v>
      </c>
      <c r="F78" s="41">
        <v>396</v>
      </c>
      <c r="G78" s="41">
        <v>2599</v>
      </c>
      <c r="H78" s="42">
        <f t="shared" si="8"/>
        <v>1497.5</v>
      </c>
      <c r="I78" s="43">
        <v>1</v>
      </c>
      <c r="J78" s="42">
        <f t="shared" si="9"/>
        <v>396</v>
      </c>
      <c r="K78" s="42">
        <f t="shared" si="10"/>
        <v>2599</v>
      </c>
      <c r="L78" s="42">
        <f t="shared" si="11"/>
        <v>1497.5</v>
      </c>
    </row>
    <row r="79" spans="1:12">
      <c r="A79" s="40">
        <v>74</v>
      </c>
      <c r="B79" s="40" t="s">
        <v>217</v>
      </c>
      <c r="C79" s="40" t="s">
        <v>136</v>
      </c>
      <c r="D79" s="40" t="s">
        <v>92</v>
      </c>
      <c r="E79" s="41">
        <v>500</v>
      </c>
      <c r="F79" s="41">
        <v>377</v>
      </c>
      <c r="G79" s="41">
        <v>1391</v>
      </c>
      <c r="H79" s="42">
        <f t="shared" si="8"/>
        <v>884</v>
      </c>
      <c r="I79" s="43">
        <v>1</v>
      </c>
      <c r="J79" s="42">
        <f t="shared" si="9"/>
        <v>377</v>
      </c>
      <c r="K79" s="42">
        <f t="shared" si="10"/>
        <v>1391</v>
      </c>
      <c r="L79" s="42">
        <f t="shared" si="11"/>
        <v>884</v>
      </c>
    </row>
    <row r="80" spans="1:12">
      <c r="A80" s="40">
        <v>75</v>
      </c>
      <c r="B80" s="40" t="s">
        <v>218</v>
      </c>
      <c r="C80" s="40" t="s">
        <v>166</v>
      </c>
      <c r="D80" s="40" t="s">
        <v>91</v>
      </c>
      <c r="E80" s="41">
        <v>500</v>
      </c>
      <c r="F80" s="41">
        <v>448</v>
      </c>
      <c r="G80" s="41">
        <v>2344</v>
      </c>
      <c r="H80" s="42">
        <f t="shared" si="8"/>
        <v>1396</v>
      </c>
      <c r="I80" s="43">
        <v>1</v>
      </c>
      <c r="J80" s="42">
        <f t="shared" si="9"/>
        <v>448</v>
      </c>
      <c r="K80" s="42">
        <f t="shared" si="10"/>
        <v>2344</v>
      </c>
      <c r="L80" s="42">
        <f t="shared" si="11"/>
        <v>1396</v>
      </c>
    </row>
    <row r="81" spans="1:12">
      <c r="A81" s="40">
        <v>76</v>
      </c>
      <c r="B81" s="40" t="s">
        <v>219</v>
      </c>
      <c r="C81" s="40" t="s">
        <v>166</v>
      </c>
      <c r="D81" s="40" t="s">
        <v>91</v>
      </c>
      <c r="E81" s="41">
        <v>500</v>
      </c>
      <c r="F81" s="41">
        <v>13101</v>
      </c>
      <c r="G81" s="41">
        <v>30709</v>
      </c>
      <c r="H81" s="42">
        <f t="shared" si="8"/>
        <v>21905</v>
      </c>
      <c r="I81" s="43">
        <v>0</v>
      </c>
      <c r="J81" s="42" t="str">
        <f t="shared" si="9"/>
        <v/>
      </c>
      <c r="K81" s="42" t="str">
        <f t="shared" si="10"/>
        <v/>
      </c>
      <c r="L81" s="42" t="str">
        <f t="shared" si="11"/>
        <v/>
      </c>
    </row>
    <row r="82" spans="1:12">
      <c r="A82" s="40">
        <v>77</v>
      </c>
      <c r="B82" s="40" t="s">
        <v>220</v>
      </c>
      <c r="C82" s="40" t="s">
        <v>166</v>
      </c>
      <c r="D82" s="40" t="s">
        <v>94</v>
      </c>
      <c r="E82" s="41">
        <v>500</v>
      </c>
      <c r="F82" s="41">
        <v>11941</v>
      </c>
      <c r="G82" s="41">
        <v>25857</v>
      </c>
      <c r="H82" s="42">
        <f t="shared" si="8"/>
        <v>18899</v>
      </c>
      <c r="I82" s="43">
        <v>0</v>
      </c>
      <c r="J82" s="42" t="str">
        <f t="shared" si="9"/>
        <v/>
      </c>
      <c r="K82" s="42" t="str">
        <f t="shared" si="10"/>
        <v/>
      </c>
      <c r="L82" s="42" t="str">
        <f t="shared" si="11"/>
        <v/>
      </c>
    </row>
    <row r="83" spans="1:12">
      <c r="A83" s="40">
        <v>78</v>
      </c>
      <c r="B83" s="40" t="s">
        <v>221</v>
      </c>
      <c r="C83" s="40" t="s">
        <v>166</v>
      </c>
      <c r="D83" s="40" t="s">
        <v>91</v>
      </c>
      <c r="E83" s="41">
        <v>500</v>
      </c>
      <c r="F83" s="41">
        <v>723</v>
      </c>
      <c r="G83" s="41">
        <v>6514</v>
      </c>
      <c r="H83" s="42">
        <f t="shared" si="8"/>
        <v>3618.5</v>
      </c>
      <c r="I83" s="43">
        <v>1</v>
      </c>
      <c r="J83" s="42">
        <f t="shared" si="9"/>
        <v>723</v>
      </c>
      <c r="K83" s="42">
        <f t="shared" si="10"/>
        <v>6514</v>
      </c>
      <c r="L83" s="42">
        <f t="shared" si="11"/>
        <v>3618.5</v>
      </c>
    </row>
    <row r="84" spans="1:12">
      <c r="A84" s="40">
        <v>79</v>
      </c>
      <c r="B84" s="40" t="s">
        <v>222</v>
      </c>
      <c r="C84" s="40" t="s">
        <v>136</v>
      </c>
      <c r="D84" s="40" t="s">
        <v>88</v>
      </c>
      <c r="E84" s="41">
        <v>500</v>
      </c>
      <c r="F84" s="41">
        <v>447</v>
      </c>
      <c r="G84" s="41">
        <v>1141</v>
      </c>
      <c r="H84" s="42">
        <f t="shared" si="8"/>
        <v>794</v>
      </c>
      <c r="I84" s="43">
        <v>1</v>
      </c>
      <c r="J84" s="42">
        <f t="shared" si="9"/>
        <v>447</v>
      </c>
      <c r="K84" s="42">
        <f t="shared" si="10"/>
        <v>1141</v>
      </c>
      <c r="L84" s="42">
        <f t="shared" si="11"/>
        <v>794</v>
      </c>
    </row>
    <row r="85" spans="1:12">
      <c r="A85" s="40">
        <v>80</v>
      </c>
      <c r="B85" s="40" t="s">
        <v>223</v>
      </c>
      <c r="C85" s="40" t="s">
        <v>136</v>
      </c>
      <c r="D85" s="40" t="s">
        <v>88</v>
      </c>
      <c r="E85" s="41">
        <v>500</v>
      </c>
      <c r="F85" s="41">
        <v>643</v>
      </c>
      <c r="G85" s="41">
        <v>2490</v>
      </c>
      <c r="H85" s="42">
        <f t="shared" si="8"/>
        <v>1566.5</v>
      </c>
      <c r="I85" s="43">
        <v>1</v>
      </c>
      <c r="J85" s="42">
        <f t="shared" si="9"/>
        <v>643</v>
      </c>
      <c r="K85" s="42">
        <f t="shared" si="10"/>
        <v>2490</v>
      </c>
      <c r="L85" s="42">
        <f t="shared" si="11"/>
        <v>1566.5</v>
      </c>
    </row>
    <row r="86" spans="1:12">
      <c r="A86" s="40">
        <v>81</v>
      </c>
      <c r="B86" s="40" t="s">
        <v>224</v>
      </c>
      <c r="C86" s="40" t="s">
        <v>136</v>
      </c>
      <c r="D86" s="40" t="s">
        <v>88</v>
      </c>
      <c r="E86" s="41">
        <v>500</v>
      </c>
      <c r="F86" s="41">
        <v>329</v>
      </c>
      <c r="G86" s="41">
        <v>1639</v>
      </c>
      <c r="H86" s="42">
        <f t="shared" si="8"/>
        <v>984</v>
      </c>
      <c r="I86" s="43">
        <v>1</v>
      </c>
      <c r="J86" s="42">
        <f t="shared" si="9"/>
        <v>329</v>
      </c>
      <c r="K86" s="42">
        <f t="shared" si="10"/>
        <v>1639</v>
      </c>
      <c r="L86" s="42">
        <f t="shared" si="11"/>
        <v>984</v>
      </c>
    </row>
    <row r="87" spans="1:12">
      <c r="A87" s="40">
        <v>82</v>
      </c>
      <c r="B87" s="40" t="s">
        <v>225</v>
      </c>
      <c r="C87" s="40" t="s">
        <v>136</v>
      </c>
      <c r="D87" s="40" t="s">
        <v>88</v>
      </c>
      <c r="E87" s="41">
        <v>500</v>
      </c>
      <c r="F87" s="41">
        <v>656</v>
      </c>
      <c r="G87" s="41">
        <v>2608</v>
      </c>
      <c r="H87" s="42">
        <f t="shared" si="8"/>
        <v>1632</v>
      </c>
      <c r="I87" s="43">
        <v>1</v>
      </c>
      <c r="J87" s="42">
        <f t="shared" si="9"/>
        <v>656</v>
      </c>
      <c r="K87" s="42">
        <f t="shared" si="10"/>
        <v>2608</v>
      </c>
      <c r="L87" s="42">
        <f t="shared" si="11"/>
        <v>1632</v>
      </c>
    </row>
    <row r="88" spans="1:12">
      <c r="A88" s="40">
        <v>83</v>
      </c>
      <c r="B88" s="40" t="s">
        <v>226</v>
      </c>
      <c r="C88" s="40" t="s">
        <v>136</v>
      </c>
      <c r="D88" s="40" t="s">
        <v>88</v>
      </c>
      <c r="E88" s="41">
        <v>500</v>
      </c>
      <c r="F88" s="41">
        <v>447</v>
      </c>
      <c r="G88" s="41">
        <v>2684</v>
      </c>
      <c r="H88" s="42">
        <f t="shared" si="8"/>
        <v>1565.5</v>
      </c>
      <c r="I88" s="43">
        <v>1</v>
      </c>
      <c r="J88" s="42">
        <f t="shared" si="9"/>
        <v>447</v>
      </c>
      <c r="K88" s="42">
        <f t="shared" si="10"/>
        <v>2684</v>
      </c>
      <c r="L88" s="42">
        <f t="shared" si="11"/>
        <v>1565.5</v>
      </c>
    </row>
    <row r="89" spans="1:12">
      <c r="A89" s="40">
        <v>84</v>
      </c>
      <c r="B89" s="40" t="s">
        <v>227</v>
      </c>
      <c r="C89" s="40" t="s">
        <v>136</v>
      </c>
      <c r="D89" s="40" t="s">
        <v>88</v>
      </c>
      <c r="E89" s="41">
        <v>500</v>
      </c>
      <c r="F89" s="41">
        <v>448</v>
      </c>
      <c r="G89" s="41">
        <v>2187</v>
      </c>
      <c r="H89" s="42">
        <f t="shared" si="8"/>
        <v>1317.5</v>
      </c>
      <c r="I89" s="43">
        <v>1</v>
      </c>
      <c r="J89" s="42">
        <f t="shared" si="9"/>
        <v>448</v>
      </c>
      <c r="K89" s="42">
        <f t="shared" si="10"/>
        <v>2187</v>
      </c>
      <c r="L89" s="42">
        <f t="shared" si="11"/>
        <v>1317.5</v>
      </c>
    </row>
    <row r="90" spans="1:12">
      <c r="A90" s="40">
        <v>85</v>
      </c>
      <c r="B90" s="40" t="s">
        <v>228</v>
      </c>
      <c r="C90" s="40" t="s">
        <v>136</v>
      </c>
      <c r="D90" s="40" t="s">
        <v>88</v>
      </c>
      <c r="E90" s="41">
        <v>500</v>
      </c>
      <c r="F90" s="41">
        <v>676</v>
      </c>
      <c r="G90" s="41">
        <v>2735</v>
      </c>
      <c r="H90" s="42">
        <f t="shared" si="8"/>
        <v>1705.5</v>
      </c>
      <c r="I90" s="43">
        <v>1</v>
      </c>
      <c r="J90" s="42">
        <f t="shared" si="9"/>
        <v>676</v>
      </c>
      <c r="K90" s="42">
        <f t="shared" si="10"/>
        <v>2735</v>
      </c>
      <c r="L90" s="42">
        <f t="shared" si="11"/>
        <v>1705.5</v>
      </c>
    </row>
    <row r="91" spans="1:12">
      <c r="A91" s="40">
        <v>86</v>
      </c>
      <c r="B91" s="40" t="s">
        <v>229</v>
      </c>
      <c r="C91" s="40" t="s">
        <v>136</v>
      </c>
      <c r="D91" s="40" t="s">
        <v>88</v>
      </c>
      <c r="E91" s="41">
        <v>500</v>
      </c>
      <c r="F91" s="41">
        <v>540</v>
      </c>
      <c r="G91" s="41">
        <v>2725</v>
      </c>
      <c r="H91" s="42">
        <f t="shared" si="8"/>
        <v>1632.5</v>
      </c>
      <c r="I91" s="43">
        <v>1</v>
      </c>
      <c r="J91" s="42">
        <f t="shared" si="9"/>
        <v>540</v>
      </c>
      <c r="K91" s="42">
        <f t="shared" si="10"/>
        <v>2725</v>
      </c>
      <c r="L91" s="42">
        <f t="shared" si="11"/>
        <v>1632.5</v>
      </c>
    </row>
    <row r="92" spans="1:12">
      <c r="A92" s="40">
        <v>87</v>
      </c>
      <c r="B92" s="40" t="s">
        <v>230</v>
      </c>
      <c r="C92" s="40" t="s">
        <v>136</v>
      </c>
      <c r="D92" s="40" t="s">
        <v>88</v>
      </c>
      <c r="E92" s="41">
        <v>500</v>
      </c>
      <c r="F92" s="41">
        <v>620</v>
      </c>
      <c r="G92" s="41">
        <v>2725</v>
      </c>
      <c r="H92" s="42">
        <f t="shared" si="8"/>
        <v>1672.5</v>
      </c>
      <c r="I92" s="43">
        <v>1</v>
      </c>
      <c r="J92" s="42">
        <f t="shared" si="9"/>
        <v>620</v>
      </c>
      <c r="K92" s="42">
        <f t="shared" si="10"/>
        <v>2725</v>
      </c>
      <c r="L92" s="42">
        <f t="shared" si="11"/>
        <v>1672.5</v>
      </c>
    </row>
    <row r="93" spans="1:12">
      <c r="A93" s="40">
        <v>88</v>
      </c>
      <c r="B93" s="40" t="s">
        <v>231</v>
      </c>
      <c r="C93" s="40" t="s">
        <v>136</v>
      </c>
      <c r="D93" s="40" t="s">
        <v>88</v>
      </c>
      <c r="E93" s="41">
        <v>500</v>
      </c>
      <c r="F93" s="41">
        <v>622</v>
      </c>
      <c r="G93" s="41">
        <v>2604</v>
      </c>
      <c r="H93" s="42">
        <f t="shared" si="8"/>
        <v>1613</v>
      </c>
      <c r="I93" s="43">
        <v>1</v>
      </c>
      <c r="J93" s="42">
        <f t="shared" si="9"/>
        <v>622</v>
      </c>
      <c r="K93" s="42">
        <f t="shared" si="10"/>
        <v>2604</v>
      </c>
      <c r="L93" s="42">
        <f t="shared" si="11"/>
        <v>1613</v>
      </c>
    </row>
    <row r="94" spans="1:12">
      <c r="A94" s="40">
        <v>89</v>
      </c>
      <c r="B94" s="40" t="s">
        <v>232</v>
      </c>
      <c r="C94" s="40" t="s">
        <v>136</v>
      </c>
      <c r="D94" s="40" t="s">
        <v>88</v>
      </c>
      <c r="E94" s="41">
        <v>500</v>
      </c>
      <c r="F94" s="41">
        <v>448</v>
      </c>
      <c r="G94" s="41">
        <v>2485</v>
      </c>
      <c r="H94" s="42">
        <f t="shared" si="8"/>
        <v>1466.5</v>
      </c>
      <c r="I94" s="43">
        <v>1</v>
      </c>
      <c r="J94" s="42">
        <f t="shared" si="9"/>
        <v>448</v>
      </c>
      <c r="K94" s="42">
        <f t="shared" si="10"/>
        <v>2485</v>
      </c>
      <c r="L94" s="42">
        <f t="shared" si="11"/>
        <v>1466.5</v>
      </c>
    </row>
    <row r="95" spans="1:12">
      <c r="A95" s="40">
        <v>90</v>
      </c>
      <c r="B95" s="40" t="s">
        <v>233</v>
      </c>
      <c r="C95" s="40" t="s">
        <v>136</v>
      </c>
      <c r="D95" s="40" t="s">
        <v>88</v>
      </c>
      <c r="E95" s="41">
        <v>500</v>
      </c>
      <c r="F95" s="41">
        <v>377</v>
      </c>
      <c r="G95" s="41">
        <v>3084</v>
      </c>
      <c r="H95" s="42">
        <f t="shared" si="8"/>
        <v>1730.5</v>
      </c>
      <c r="I95" s="43">
        <v>1</v>
      </c>
      <c r="J95" s="42">
        <f t="shared" si="9"/>
        <v>377</v>
      </c>
      <c r="K95" s="42">
        <f t="shared" si="10"/>
        <v>3084</v>
      </c>
      <c r="L95" s="42">
        <f t="shared" si="11"/>
        <v>1730.5</v>
      </c>
    </row>
    <row r="96" spans="1:12">
      <c r="A96" s="40">
        <v>91</v>
      </c>
      <c r="B96" s="40" t="s">
        <v>234</v>
      </c>
      <c r="C96" s="40" t="s">
        <v>136</v>
      </c>
      <c r="D96" s="40" t="s">
        <v>88</v>
      </c>
      <c r="E96" s="41">
        <v>500</v>
      </c>
      <c r="F96" s="41">
        <v>446</v>
      </c>
      <c r="G96" s="41">
        <v>17540</v>
      </c>
      <c r="H96" s="42">
        <f t="shared" si="8"/>
        <v>8993</v>
      </c>
      <c r="I96" s="43">
        <v>1</v>
      </c>
      <c r="J96" s="42">
        <f t="shared" si="9"/>
        <v>446</v>
      </c>
      <c r="K96" s="42">
        <f t="shared" si="10"/>
        <v>17540</v>
      </c>
      <c r="L96" s="42">
        <f t="shared" si="11"/>
        <v>8993</v>
      </c>
    </row>
    <row r="97" spans="1:12">
      <c r="A97" s="40">
        <v>92</v>
      </c>
      <c r="B97" s="40" t="s">
        <v>235</v>
      </c>
      <c r="C97" s="40" t="s">
        <v>136</v>
      </c>
      <c r="D97" s="40" t="s">
        <v>89</v>
      </c>
      <c r="E97" s="41">
        <v>500</v>
      </c>
      <c r="F97" s="41">
        <v>446</v>
      </c>
      <c r="G97" s="41">
        <v>2687</v>
      </c>
      <c r="H97" s="42">
        <f t="shared" si="8"/>
        <v>1566.5</v>
      </c>
      <c r="I97" s="43">
        <v>1</v>
      </c>
      <c r="J97" s="42">
        <f t="shared" si="9"/>
        <v>446</v>
      </c>
      <c r="K97" s="42">
        <f t="shared" si="10"/>
        <v>2687</v>
      </c>
      <c r="L97" s="42">
        <f t="shared" si="11"/>
        <v>1566.5</v>
      </c>
    </row>
    <row r="98" spans="1:12">
      <c r="A98" s="40">
        <v>93</v>
      </c>
      <c r="B98" s="40" t="s">
        <v>236</v>
      </c>
      <c r="C98" s="40" t="s">
        <v>136</v>
      </c>
      <c r="D98" s="40" t="s">
        <v>90</v>
      </c>
      <c r="E98" s="41">
        <v>500</v>
      </c>
      <c r="F98" s="41">
        <v>447</v>
      </c>
      <c r="G98" s="41">
        <v>661</v>
      </c>
      <c r="H98" s="42">
        <f t="shared" si="8"/>
        <v>554</v>
      </c>
      <c r="I98" s="43">
        <v>1</v>
      </c>
      <c r="J98" s="42">
        <f t="shared" si="9"/>
        <v>447</v>
      </c>
      <c r="K98" s="42">
        <f t="shared" si="10"/>
        <v>661</v>
      </c>
      <c r="L98" s="42">
        <f t="shared" si="11"/>
        <v>554</v>
      </c>
    </row>
    <row r="99" spans="1:12">
      <c r="A99" s="40">
        <v>94</v>
      </c>
      <c r="B99" s="40" t="s">
        <v>237</v>
      </c>
      <c r="C99" s="40" t="s">
        <v>136</v>
      </c>
      <c r="D99" s="40" t="s">
        <v>88</v>
      </c>
      <c r="E99" s="41">
        <v>500</v>
      </c>
      <c r="F99" s="41">
        <v>299</v>
      </c>
      <c r="G99" s="41">
        <v>2348</v>
      </c>
      <c r="H99" s="42">
        <f t="shared" si="8"/>
        <v>1323.5</v>
      </c>
      <c r="I99" s="43">
        <v>1</v>
      </c>
      <c r="J99" s="42">
        <f t="shared" si="9"/>
        <v>299</v>
      </c>
      <c r="K99" s="42">
        <f t="shared" si="10"/>
        <v>2348</v>
      </c>
      <c r="L99" s="42">
        <f t="shared" si="11"/>
        <v>1323.5</v>
      </c>
    </row>
    <row r="100" spans="1:12">
      <c r="A100" s="40">
        <v>95</v>
      </c>
      <c r="B100" s="40" t="s">
        <v>238</v>
      </c>
      <c r="C100" s="40" t="s">
        <v>136</v>
      </c>
      <c r="D100" s="40" t="s">
        <v>88</v>
      </c>
      <c r="E100" s="41">
        <v>500</v>
      </c>
      <c r="F100" s="41">
        <v>647</v>
      </c>
      <c r="G100" s="41">
        <v>2307</v>
      </c>
      <c r="H100" s="42">
        <f t="shared" si="8"/>
        <v>1477</v>
      </c>
      <c r="I100" s="43">
        <v>1</v>
      </c>
      <c r="J100" s="42">
        <f t="shared" si="9"/>
        <v>647</v>
      </c>
      <c r="K100" s="42">
        <f t="shared" si="10"/>
        <v>2307</v>
      </c>
      <c r="L100" s="42">
        <f t="shared" si="11"/>
        <v>1477</v>
      </c>
    </row>
    <row r="101" spans="1:12">
      <c r="A101" s="40">
        <v>96</v>
      </c>
      <c r="B101" s="40" t="s">
        <v>239</v>
      </c>
      <c r="C101" s="40" t="s">
        <v>136</v>
      </c>
      <c r="D101" s="40" t="s">
        <v>88</v>
      </c>
      <c r="E101" s="41">
        <v>500</v>
      </c>
      <c r="F101" s="41">
        <v>448</v>
      </c>
      <c r="G101" s="41">
        <v>1900</v>
      </c>
      <c r="H101" s="42">
        <f t="shared" si="8"/>
        <v>1174</v>
      </c>
      <c r="I101" s="43">
        <v>1</v>
      </c>
      <c r="J101" s="42">
        <f t="shared" si="9"/>
        <v>448</v>
      </c>
      <c r="K101" s="42">
        <f t="shared" si="10"/>
        <v>1900</v>
      </c>
      <c r="L101" s="42">
        <f t="shared" si="11"/>
        <v>1174</v>
      </c>
    </row>
    <row r="102" spans="1:12">
      <c r="A102" s="40">
        <v>97</v>
      </c>
      <c r="B102" s="40" t="s">
        <v>240</v>
      </c>
      <c r="C102" s="40" t="s">
        <v>136</v>
      </c>
      <c r="D102" s="40" t="s">
        <v>88</v>
      </c>
      <c r="E102" s="41">
        <v>500</v>
      </c>
      <c r="F102" s="41">
        <v>622</v>
      </c>
      <c r="G102" s="41">
        <v>1405</v>
      </c>
      <c r="H102" s="42">
        <f t="shared" ref="H102:H133" si="12">AVERAGE(F102,G102)</f>
        <v>1013.5</v>
      </c>
      <c r="I102" s="43">
        <v>1</v>
      </c>
      <c r="J102" s="42">
        <f t="shared" ref="J102:J133" si="13">IF($I102=1,F102,"")</f>
        <v>622</v>
      </c>
      <c r="K102" s="42">
        <f t="shared" ref="K102:K133" si="14">IF($I102=1,G102,"")</f>
        <v>1405</v>
      </c>
      <c r="L102" s="42">
        <f t="shared" ref="L102:L133" si="15">IF($I102=1,H102,"")</f>
        <v>1013.5</v>
      </c>
    </row>
    <row r="103" spans="1:12">
      <c r="A103" s="40">
        <v>98</v>
      </c>
      <c r="B103" s="40" t="s">
        <v>241</v>
      </c>
      <c r="C103" s="40" t="s">
        <v>136</v>
      </c>
      <c r="D103" s="40" t="s">
        <v>89</v>
      </c>
      <c r="E103" s="41">
        <v>50</v>
      </c>
      <c r="F103" s="41">
        <v>448</v>
      </c>
      <c r="G103" s="41">
        <v>3466</v>
      </c>
      <c r="H103" s="42">
        <f t="shared" si="12"/>
        <v>1957</v>
      </c>
      <c r="I103" s="43">
        <v>1</v>
      </c>
      <c r="J103" s="42">
        <f t="shared" si="13"/>
        <v>448</v>
      </c>
      <c r="K103" s="42">
        <f t="shared" si="14"/>
        <v>3466</v>
      </c>
      <c r="L103" s="42">
        <f t="shared" si="15"/>
        <v>1957</v>
      </c>
    </row>
    <row r="104" spans="1:12">
      <c r="A104" s="40">
        <v>99</v>
      </c>
      <c r="B104" s="40" t="s">
        <v>242</v>
      </c>
      <c r="C104" s="40" t="s">
        <v>136</v>
      </c>
      <c r="D104" s="40" t="s">
        <v>89</v>
      </c>
      <c r="E104" s="41">
        <v>50</v>
      </c>
      <c r="F104" s="41">
        <v>448</v>
      </c>
      <c r="G104" s="41">
        <v>3466</v>
      </c>
      <c r="H104" s="42">
        <f t="shared" si="12"/>
        <v>1957</v>
      </c>
      <c r="I104" s="43">
        <v>1</v>
      </c>
      <c r="J104" s="42">
        <f t="shared" si="13"/>
        <v>448</v>
      </c>
      <c r="K104" s="42">
        <f t="shared" si="14"/>
        <v>3466</v>
      </c>
      <c r="L104" s="42">
        <f t="shared" si="15"/>
        <v>1957</v>
      </c>
    </row>
    <row r="105" spans="1:12">
      <c r="A105" s="40">
        <v>100</v>
      </c>
      <c r="B105" s="40" t="s">
        <v>243</v>
      </c>
      <c r="C105" s="40" t="s">
        <v>136</v>
      </c>
      <c r="D105" s="40" t="s">
        <v>89</v>
      </c>
      <c r="E105" s="41">
        <v>50</v>
      </c>
      <c r="F105" s="41">
        <v>331</v>
      </c>
      <c r="G105" s="41">
        <v>2483</v>
      </c>
      <c r="H105" s="42">
        <f t="shared" si="12"/>
        <v>1407</v>
      </c>
      <c r="I105" s="43">
        <v>1</v>
      </c>
      <c r="J105" s="42">
        <f t="shared" si="13"/>
        <v>331</v>
      </c>
      <c r="K105" s="42">
        <f t="shared" si="14"/>
        <v>2483</v>
      </c>
      <c r="L105" s="42">
        <f t="shared" si="15"/>
        <v>1407</v>
      </c>
    </row>
    <row r="106" spans="1:12">
      <c r="A106" s="40">
        <v>101</v>
      </c>
      <c r="B106" s="40" t="s">
        <v>244</v>
      </c>
      <c r="C106" s="40" t="s">
        <v>136</v>
      </c>
      <c r="D106" s="40" t="s">
        <v>88</v>
      </c>
      <c r="E106" s="41">
        <v>50</v>
      </c>
      <c r="F106" s="41">
        <v>510</v>
      </c>
      <c r="G106" s="41">
        <v>3255</v>
      </c>
      <c r="H106" s="42">
        <f t="shared" si="12"/>
        <v>1882.5</v>
      </c>
      <c r="I106" s="43">
        <v>1</v>
      </c>
      <c r="J106" s="42">
        <f t="shared" si="13"/>
        <v>510</v>
      </c>
      <c r="K106" s="42">
        <f t="shared" si="14"/>
        <v>3255</v>
      </c>
      <c r="L106" s="42">
        <f t="shared" si="15"/>
        <v>1882.5</v>
      </c>
    </row>
    <row r="107" spans="1:12">
      <c r="A107" s="40">
        <v>102</v>
      </c>
      <c r="B107" s="40" t="s">
        <v>245</v>
      </c>
      <c r="C107" s="40" t="s">
        <v>136</v>
      </c>
      <c r="D107" s="40" t="s">
        <v>88</v>
      </c>
      <c r="E107" s="41">
        <v>50</v>
      </c>
      <c r="F107" s="41">
        <v>179</v>
      </c>
      <c r="G107" s="41">
        <v>769</v>
      </c>
      <c r="H107" s="42">
        <f t="shared" si="12"/>
        <v>474</v>
      </c>
      <c r="I107" s="43">
        <v>1</v>
      </c>
      <c r="J107" s="42">
        <f t="shared" si="13"/>
        <v>179</v>
      </c>
      <c r="K107" s="42">
        <f t="shared" si="14"/>
        <v>769</v>
      </c>
      <c r="L107" s="42">
        <f t="shared" si="15"/>
        <v>474</v>
      </c>
    </row>
    <row r="108" spans="1:12">
      <c r="A108" s="40">
        <v>103</v>
      </c>
      <c r="B108" s="40" t="s">
        <v>246</v>
      </c>
      <c r="C108" s="40" t="s">
        <v>136</v>
      </c>
      <c r="D108" s="40" t="s">
        <v>93</v>
      </c>
      <c r="E108" s="41">
        <v>50</v>
      </c>
      <c r="F108" s="41">
        <v>630</v>
      </c>
      <c r="G108" s="41">
        <v>1637</v>
      </c>
      <c r="H108" s="42">
        <f t="shared" si="12"/>
        <v>1133.5</v>
      </c>
      <c r="I108" s="43">
        <v>1</v>
      </c>
      <c r="J108" s="42">
        <f t="shared" si="13"/>
        <v>630</v>
      </c>
      <c r="K108" s="42">
        <f t="shared" si="14"/>
        <v>1637</v>
      </c>
      <c r="L108" s="42">
        <f t="shared" si="15"/>
        <v>1133.5</v>
      </c>
    </row>
    <row r="109" spans="1:12">
      <c r="A109" s="40">
        <v>104</v>
      </c>
      <c r="B109" s="40" t="s">
        <v>247</v>
      </c>
      <c r="C109" s="40" t="s">
        <v>136</v>
      </c>
      <c r="D109" s="40" t="s">
        <v>90</v>
      </c>
      <c r="E109" s="41">
        <v>50</v>
      </c>
      <c r="F109" s="41">
        <v>596</v>
      </c>
      <c r="G109" s="41">
        <v>1639</v>
      </c>
      <c r="H109" s="42">
        <f t="shared" si="12"/>
        <v>1117.5</v>
      </c>
      <c r="I109" s="43">
        <v>1</v>
      </c>
      <c r="J109" s="42">
        <f t="shared" si="13"/>
        <v>596</v>
      </c>
      <c r="K109" s="42">
        <f t="shared" si="14"/>
        <v>1639</v>
      </c>
      <c r="L109" s="42">
        <f t="shared" si="15"/>
        <v>1117.5</v>
      </c>
    </row>
    <row r="110" spans="1:12">
      <c r="A110" s="40">
        <v>105</v>
      </c>
      <c r="B110" s="40" t="s">
        <v>248</v>
      </c>
      <c r="C110" s="40" t="s">
        <v>136</v>
      </c>
      <c r="D110" s="40" t="s">
        <v>88</v>
      </c>
      <c r="E110" s="41">
        <v>50</v>
      </c>
      <c r="F110" s="41">
        <v>446</v>
      </c>
      <c r="G110" s="41">
        <v>3328</v>
      </c>
      <c r="H110" s="42">
        <f t="shared" si="12"/>
        <v>1887</v>
      </c>
      <c r="I110" s="43">
        <v>1</v>
      </c>
      <c r="J110" s="42">
        <f t="shared" si="13"/>
        <v>446</v>
      </c>
      <c r="K110" s="42">
        <f t="shared" si="14"/>
        <v>3328</v>
      </c>
      <c r="L110" s="42">
        <f t="shared" si="15"/>
        <v>1887</v>
      </c>
    </row>
    <row r="111" spans="1:12">
      <c r="A111" s="40">
        <v>106</v>
      </c>
      <c r="B111" s="40" t="s">
        <v>249</v>
      </c>
      <c r="C111" s="40" t="s">
        <v>136</v>
      </c>
      <c r="D111" s="40" t="s">
        <v>88</v>
      </c>
      <c r="E111" s="41">
        <v>50</v>
      </c>
      <c r="F111" s="41">
        <v>773</v>
      </c>
      <c r="G111" s="41">
        <v>1938</v>
      </c>
      <c r="H111" s="42">
        <f t="shared" si="12"/>
        <v>1355.5</v>
      </c>
      <c r="I111" s="43">
        <v>1</v>
      </c>
      <c r="J111" s="42">
        <f t="shared" si="13"/>
        <v>773</v>
      </c>
      <c r="K111" s="42">
        <f t="shared" si="14"/>
        <v>1938</v>
      </c>
      <c r="L111" s="42">
        <f t="shared" si="15"/>
        <v>1355.5</v>
      </c>
    </row>
    <row r="112" spans="1:12">
      <c r="A112" s="40">
        <v>107</v>
      </c>
      <c r="B112" s="40" t="s">
        <v>250</v>
      </c>
      <c r="C112" s="40" t="s">
        <v>136</v>
      </c>
      <c r="D112" s="40" t="s">
        <v>88</v>
      </c>
      <c r="E112" s="41">
        <v>50</v>
      </c>
      <c r="F112" s="41">
        <v>560</v>
      </c>
      <c r="G112" s="41">
        <v>2689</v>
      </c>
      <c r="H112" s="42">
        <f t="shared" si="12"/>
        <v>1624.5</v>
      </c>
      <c r="I112" s="43">
        <v>1</v>
      </c>
      <c r="J112" s="42">
        <f t="shared" si="13"/>
        <v>560</v>
      </c>
      <c r="K112" s="42">
        <f t="shared" si="14"/>
        <v>2689</v>
      </c>
      <c r="L112" s="42">
        <f t="shared" si="15"/>
        <v>1624.5</v>
      </c>
    </row>
    <row r="113" spans="1:12">
      <c r="A113" s="40">
        <v>108</v>
      </c>
      <c r="B113" s="40" t="s">
        <v>251</v>
      </c>
      <c r="C113" s="40" t="s">
        <v>136</v>
      </c>
      <c r="D113" s="40" t="s">
        <v>88</v>
      </c>
      <c r="E113" s="41">
        <v>50</v>
      </c>
      <c r="F113" s="41">
        <v>575</v>
      </c>
      <c r="G113" s="41">
        <v>3839</v>
      </c>
      <c r="H113" s="42">
        <f t="shared" si="12"/>
        <v>2207</v>
      </c>
      <c r="I113" s="43">
        <v>1</v>
      </c>
      <c r="J113" s="42">
        <f t="shared" si="13"/>
        <v>575</v>
      </c>
      <c r="K113" s="42">
        <f t="shared" si="14"/>
        <v>3839</v>
      </c>
      <c r="L113" s="42">
        <f t="shared" si="15"/>
        <v>2207</v>
      </c>
    </row>
    <row r="114" spans="1:12">
      <c r="A114" s="40">
        <v>109</v>
      </c>
      <c r="B114" s="40" t="s">
        <v>252</v>
      </c>
      <c r="C114" s="40" t="s">
        <v>166</v>
      </c>
      <c r="D114" s="40" t="s">
        <v>91</v>
      </c>
      <c r="E114" s="41">
        <v>50</v>
      </c>
      <c r="F114" s="41">
        <v>1361</v>
      </c>
      <c r="G114" s="41">
        <v>4455</v>
      </c>
      <c r="H114" s="42">
        <f t="shared" si="12"/>
        <v>2908</v>
      </c>
      <c r="I114" s="43">
        <v>1</v>
      </c>
      <c r="J114" s="42">
        <f t="shared" si="13"/>
        <v>1361</v>
      </c>
      <c r="K114" s="42">
        <f t="shared" si="14"/>
        <v>4455</v>
      </c>
      <c r="L114" s="42">
        <f t="shared" si="15"/>
        <v>2908</v>
      </c>
    </row>
    <row r="115" spans="1:12">
      <c r="A115" s="40">
        <v>110</v>
      </c>
      <c r="B115" s="40" t="s">
        <v>253</v>
      </c>
      <c r="C115" s="40" t="s">
        <v>166</v>
      </c>
      <c r="D115" s="40" t="s">
        <v>91</v>
      </c>
      <c r="E115" s="41">
        <v>50</v>
      </c>
      <c r="F115" s="41">
        <v>297</v>
      </c>
      <c r="G115" s="41">
        <v>5308</v>
      </c>
      <c r="H115" s="42">
        <f t="shared" si="12"/>
        <v>2802.5</v>
      </c>
      <c r="I115" s="43">
        <v>1</v>
      </c>
      <c r="J115" s="42">
        <f t="shared" si="13"/>
        <v>297</v>
      </c>
      <c r="K115" s="42">
        <f t="shared" si="14"/>
        <v>5308</v>
      </c>
      <c r="L115" s="42">
        <f t="shared" si="15"/>
        <v>2802.5</v>
      </c>
    </row>
    <row r="116" spans="1:12">
      <c r="A116" s="40">
        <v>111</v>
      </c>
      <c r="B116" s="40" t="s">
        <v>254</v>
      </c>
      <c r="C116" s="40" t="s">
        <v>136</v>
      </c>
      <c r="D116" s="40" t="s">
        <v>89</v>
      </c>
      <c r="E116" s="41">
        <v>50</v>
      </c>
      <c r="F116" s="41">
        <v>378</v>
      </c>
      <c r="G116" s="41">
        <v>3979</v>
      </c>
      <c r="H116" s="42">
        <f t="shared" si="12"/>
        <v>2178.5</v>
      </c>
      <c r="I116" s="43">
        <v>1</v>
      </c>
      <c r="J116" s="42">
        <f t="shared" si="13"/>
        <v>378</v>
      </c>
      <c r="K116" s="42">
        <f t="shared" si="14"/>
        <v>3979</v>
      </c>
      <c r="L116" s="42">
        <f t="shared" si="15"/>
        <v>2178.5</v>
      </c>
    </row>
    <row r="117" spans="1:12">
      <c r="A117" s="40">
        <v>112</v>
      </c>
      <c r="B117" s="40" t="s">
        <v>255</v>
      </c>
      <c r="C117" s="40" t="s">
        <v>136</v>
      </c>
      <c r="D117" s="40" t="s">
        <v>89</v>
      </c>
      <c r="E117" s="41">
        <v>50</v>
      </c>
      <c r="F117" s="41">
        <v>488</v>
      </c>
      <c r="G117" s="41">
        <v>2243</v>
      </c>
      <c r="H117" s="42">
        <f t="shared" si="12"/>
        <v>1365.5</v>
      </c>
      <c r="I117" s="43">
        <v>1</v>
      </c>
      <c r="J117" s="42">
        <f t="shared" si="13"/>
        <v>488</v>
      </c>
      <c r="K117" s="42">
        <f t="shared" si="14"/>
        <v>2243</v>
      </c>
      <c r="L117" s="42">
        <f t="shared" si="15"/>
        <v>1365.5</v>
      </c>
    </row>
    <row r="118" spans="1:12">
      <c r="A118" s="40">
        <v>113</v>
      </c>
      <c r="B118" s="40" t="s">
        <v>256</v>
      </c>
      <c r="C118" s="40" t="s">
        <v>136</v>
      </c>
      <c r="D118" s="40" t="s">
        <v>89</v>
      </c>
      <c r="E118" s="41">
        <v>50</v>
      </c>
      <c r="F118" s="41">
        <v>620</v>
      </c>
      <c r="G118" s="41">
        <v>2228</v>
      </c>
      <c r="H118" s="42">
        <f t="shared" si="12"/>
        <v>1424</v>
      </c>
      <c r="I118" s="43">
        <v>1</v>
      </c>
      <c r="J118" s="42">
        <f t="shared" si="13"/>
        <v>620</v>
      </c>
      <c r="K118" s="42">
        <f t="shared" si="14"/>
        <v>2228</v>
      </c>
      <c r="L118" s="42">
        <f t="shared" si="15"/>
        <v>1424</v>
      </c>
    </row>
    <row r="119" spans="1:12">
      <c r="A119" s="40">
        <v>114</v>
      </c>
      <c r="B119" s="40" t="s">
        <v>257</v>
      </c>
      <c r="C119" s="40" t="s">
        <v>136</v>
      </c>
      <c r="D119" s="40" t="s">
        <v>89</v>
      </c>
      <c r="E119" s="41">
        <v>50</v>
      </c>
      <c r="F119" s="41">
        <v>446</v>
      </c>
      <c r="G119" s="41">
        <v>3044</v>
      </c>
      <c r="H119" s="42">
        <f t="shared" si="12"/>
        <v>1745</v>
      </c>
      <c r="I119" s="43">
        <v>1</v>
      </c>
      <c r="J119" s="42">
        <f t="shared" si="13"/>
        <v>446</v>
      </c>
      <c r="K119" s="42">
        <f t="shared" si="14"/>
        <v>3044</v>
      </c>
      <c r="L119" s="42">
        <f t="shared" si="15"/>
        <v>1745</v>
      </c>
    </row>
    <row r="120" spans="1:12">
      <c r="A120" s="40">
        <v>115</v>
      </c>
      <c r="B120" s="40" t="s">
        <v>258</v>
      </c>
      <c r="C120" s="40" t="s">
        <v>136</v>
      </c>
      <c r="D120" s="40" t="s">
        <v>89</v>
      </c>
      <c r="E120" s="41">
        <v>50</v>
      </c>
      <c r="F120" s="41">
        <v>375</v>
      </c>
      <c r="G120" s="41">
        <v>1128</v>
      </c>
      <c r="H120" s="42">
        <f t="shared" si="12"/>
        <v>751.5</v>
      </c>
      <c r="I120" s="43">
        <v>1</v>
      </c>
      <c r="J120" s="42">
        <f t="shared" si="13"/>
        <v>375</v>
      </c>
      <c r="K120" s="42">
        <f t="shared" si="14"/>
        <v>1128</v>
      </c>
      <c r="L120" s="42">
        <f t="shared" si="15"/>
        <v>751.5</v>
      </c>
    </row>
    <row r="121" spans="1:12">
      <c r="A121" s="40">
        <v>116</v>
      </c>
      <c r="B121" s="40" t="s">
        <v>259</v>
      </c>
      <c r="C121" s="40" t="s">
        <v>136</v>
      </c>
      <c r="D121" s="40" t="s">
        <v>89</v>
      </c>
      <c r="E121" s="41">
        <v>50</v>
      </c>
      <c r="F121" s="41">
        <v>656</v>
      </c>
      <c r="G121" s="41">
        <v>3378</v>
      </c>
      <c r="H121" s="42">
        <f t="shared" si="12"/>
        <v>2017</v>
      </c>
      <c r="I121" s="43">
        <v>1</v>
      </c>
      <c r="J121" s="42">
        <f t="shared" si="13"/>
        <v>656</v>
      </c>
      <c r="K121" s="42">
        <f t="shared" si="14"/>
        <v>3378</v>
      </c>
      <c r="L121" s="42">
        <f t="shared" si="15"/>
        <v>2017</v>
      </c>
    </row>
    <row r="122" spans="1:12">
      <c r="A122" s="40">
        <v>117</v>
      </c>
      <c r="B122" s="40" t="s">
        <v>260</v>
      </c>
      <c r="C122" s="40" t="s">
        <v>136</v>
      </c>
      <c r="D122" s="40" t="s">
        <v>89</v>
      </c>
      <c r="E122" s="41">
        <v>50</v>
      </c>
      <c r="F122" s="41">
        <v>277</v>
      </c>
      <c r="G122" s="41">
        <v>1461</v>
      </c>
      <c r="H122" s="42">
        <f t="shared" si="12"/>
        <v>869</v>
      </c>
      <c r="I122" s="43">
        <v>1</v>
      </c>
      <c r="J122" s="42">
        <f t="shared" si="13"/>
        <v>277</v>
      </c>
      <c r="K122" s="42">
        <f t="shared" si="14"/>
        <v>1461</v>
      </c>
      <c r="L122" s="42">
        <f t="shared" si="15"/>
        <v>869</v>
      </c>
    </row>
    <row r="123" spans="1:12">
      <c r="A123" s="40">
        <v>118</v>
      </c>
      <c r="B123" s="40" t="s">
        <v>261</v>
      </c>
      <c r="C123" s="40" t="s">
        <v>136</v>
      </c>
      <c r="D123" s="40" t="s">
        <v>89</v>
      </c>
      <c r="E123" s="41">
        <v>50</v>
      </c>
      <c r="F123" s="41">
        <v>1640</v>
      </c>
      <c r="G123" s="41">
        <v>7270</v>
      </c>
      <c r="H123" s="42">
        <f t="shared" si="12"/>
        <v>4455</v>
      </c>
      <c r="I123" s="43">
        <v>1</v>
      </c>
      <c r="J123" s="42">
        <f t="shared" si="13"/>
        <v>1640</v>
      </c>
      <c r="K123" s="42">
        <f t="shared" si="14"/>
        <v>7270</v>
      </c>
      <c r="L123" s="42">
        <f t="shared" si="15"/>
        <v>4455</v>
      </c>
    </row>
    <row r="124" spans="1:12">
      <c r="A124" s="40">
        <v>119</v>
      </c>
      <c r="B124" s="40" t="s">
        <v>262</v>
      </c>
      <c r="C124" s="40" t="s">
        <v>136</v>
      </c>
      <c r="D124" s="40" t="s">
        <v>89</v>
      </c>
      <c r="E124" s="41">
        <v>50</v>
      </c>
      <c r="F124" s="41">
        <v>378</v>
      </c>
      <c r="G124" s="41">
        <v>853</v>
      </c>
      <c r="H124" s="42">
        <f t="shared" si="12"/>
        <v>615.5</v>
      </c>
      <c r="I124" s="43">
        <v>1</v>
      </c>
      <c r="J124" s="42">
        <f t="shared" si="13"/>
        <v>378</v>
      </c>
      <c r="K124" s="42">
        <f t="shared" si="14"/>
        <v>853</v>
      </c>
      <c r="L124" s="42">
        <f t="shared" si="15"/>
        <v>615.5</v>
      </c>
    </row>
    <row r="125" spans="1:12">
      <c r="A125" s="40">
        <v>120</v>
      </c>
      <c r="B125" s="40" t="s">
        <v>263</v>
      </c>
      <c r="C125" s="40" t="s">
        <v>166</v>
      </c>
      <c r="D125" s="40" t="s">
        <v>91</v>
      </c>
      <c r="E125" s="41">
        <v>50</v>
      </c>
      <c r="F125" s="41">
        <v>446</v>
      </c>
      <c r="G125" s="41">
        <v>1360</v>
      </c>
      <c r="H125" s="42">
        <f t="shared" si="12"/>
        <v>903</v>
      </c>
      <c r="I125" s="43">
        <v>1</v>
      </c>
      <c r="J125" s="42">
        <f t="shared" si="13"/>
        <v>446</v>
      </c>
      <c r="K125" s="42">
        <f t="shared" si="14"/>
        <v>1360</v>
      </c>
      <c r="L125" s="42">
        <f t="shared" si="15"/>
        <v>903</v>
      </c>
    </row>
    <row r="126" spans="1:12">
      <c r="A126" s="40">
        <v>121</v>
      </c>
      <c r="B126" s="40" t="s">
        <v>264</v>
      </c>
      <c r="C126" s="40" t="s">
        <v>136</v>
      </c>
      <c r="D126" s="40" t="s">
        <v>89</v>
      </c>
      <c r="E126" s="41">
        <v>50</v>
      </c>
      <c r="F126" s="41">
        <v>358</v>
      </c>
      <c r="G126" s="41">
        <v>2466</v>
      </c>
      <c r="H126" s="42">
        <f t="shared" si="12"/>
        <v>1412</v>
      </c>
      <c r="I126" s="43">
        <v>1</v>
      </c>
      <c r="J126" s="42">
        <f t="shared" si="13"/>
        <v>358</v>
      </c>
      <c r="K126" s="42">
        <f t="shared" si="14"/>
        <v>2466</v>
      </c>
      <c r="L126" s="42">
        <f t="shared" si="15"/>
        <v>1412</v>
      </c>
    </row>
    <row r="127" spans="1:12">
      <c r="A127" s="40">
        <v>122</v>
      </c>
      <c r="B127" s="40" t="s">
        <v>265</v>
      </c>
      <c r="C127" s="40" t="s">
        <v>136</v>
      </c>
      <c r="D127" s="40" t="s">
        <v>89</v>
      </c>
      <c r="E127" s="41">
        <v>50</v>
      </c>
      <c r="F127" s="41">
        <v>654</v>
      </c>
      <c r="G127" s="41">
        <v>2682</v>
      </c>
      <c r="H127" s="42">
        <f t="shared" si="12"/>
        <v>1668</v>
      </c>
      <c r="I127" s="43">
        <v>1</v>
      </c>
      <c r="J127" s="42">
        <f t="shared" si="13"/>
        <v>654</v>
      </c>
      <c r="K127" s="42">
        <f t="shared" si="14"/>
        <v>2682</v>
      </c>
      <c r="L127" s="42">
        <f t="shared" si="15"/>
        <v>1668</v>
      </c>
    </row>
    <row r="128" spans="1:12">
      <c r="A128" s="40">
        <v>123</v>
      </c>
      <c r="B128" s="40" t="s">
        <v>266</v>
      </c>
      <c r="C128" s="40" t="s">
        <v>136</v>
      </c>
      <c r="D128" s="40" t="s">
        <v>88</v>
      </c>
      <c r="E128" s="41">
        <v>50</v>
      </c>
      <c r="F128" s="41">
        <v>617</v>
      </c>
      <c r="G128" s="41">
        <v>2557</v>
      </c>
      <c r="H128" s="42">
        <f t="shared" si="12"/>
        <v>1587</v>
      </c>
      <c r="I128" s="43">
        <v>1</v>
      </c>
      <c r="J128" s="42">
        <f t="shared" si="13"/>
        <v>617</v>
      </c>
      <c r="K128" s="42">
        <f t="shared" si="14"/>
        <v>2557</v>
      </c>
      <c r="L128" s="42">
        <f t="shared" si="15"/>
        <v>1587</v>
      </c>
    </row>
    <row r="129" spans="1:12">
      <c r="A129" s="40">
        <v>124</v>
      </c>
      <c r="B129" s="40" t="s">
        <v>267</v>
      </c>
      <c r="C129" s="40" t="s">
        <v>136</v>
      </c>
      <c r="D129" s="40" t="s">
        <v>89</v>
      </c>
      <c r="E129" s="41">
        <v>50</v>
      </c>
      <c r="F129" s="41">
        <v>426</v>
      </c>
      <c r="G129" s="41">
        <v>1559</v>
      </c>
      <c r="H129" s="42">
        <f t="shared" si="12"/>
        <v>992.5</v>
      </c>
      <c r="I129" s="43">
        <v>1</v>
      </c>
      <c r="J129" s="42">
        <f t="shared" si="13"/>
        <v>426</v>
      </c>
      <c r="K129" s="42">
        <f t="shared" si="14"/>
        <v>1559</v>
      </c>
      <c r="L129" s="42">
        <f t="shared" si="15"/>
        <v>992.5</v>
      </c>
    </row>
    <row r="130" spans="1:12">
      <c r="A130" s="40">
        <v>125</v>
      </c>
      <c r="B130" s="40" t="s">
        <v>268</v>
      </c>
      <c r="C130" s="40" t="s">
        <v>136</v>
      </c>
      <c r="D130" s="40" t="s">
        <v>89</v>
      </c>
      <c r="E130" s="41">
        <v>50</v>
      </c>
      <c r="F130" s="41">
        <v>379</v>
      </c>
      <c r="G130" s="41">
        <v>938</v>
      </c>
      <c r="H130" s="42">
        <f t="shared" si="12"/>
        <v>658.5</v>
      </c>
      <c r="I130" s="43">
        <v>1</v>
      </c>
      <c r="J130" s="42">
        <f t="shared" si="13"/>
        <v>379</v>
      </c>
      <c r="K130" s="42">
        <f t="shared" si="14"/>
        <v>938</v>
      </c>
      <c r="L130" s="42">
        <f t="shared" si="15"/>
        <v>658.5</v>
      </c>
    </row>
    <row r="131" spans="1:12">
      <c r="A131" s="40">
        <v>126</v>
      </c>
      <c r="B131" s="40" t="s">
        <v>269</v>
      </c>
      <c r="C131" s="40" t="s">
        <v>136</v>
      </c>
      <c r="D131" s="40" t="s">
        <v>88</v>
      </c>
      <c r="E131" s="41">
        <v>50</v>
      </c>
      <c r="F131" s="41">
        <v>378</v>
      </c>
      <c r="G131" s="41">
        <v>1565</v>
      </c>
      <c r="H131" s="42">
        <f t="shared" si="12"/>
        <v>971.5</v>
      </c>
      <c r="I131" s="43">
        <v>1</v>
      </c>
      <c r="J131" s="42">
        <f t="shared" si="13"/>
        <v>378</v>
      </c>
      <c r="K131" s="42">
        <f t="shared" si="14"/>
        <v>1565</v>
      </c>
      <c r="L131" s="42">
        <f t="shared" si="15"/>
        <v>971.5</v>
      </c>
    </row>
    <row r="132" spans="1:12">
      <c r="A132" s="40">
        <v>127</v>
      </c>
      <c r="B132" s="40" t="s">
        <v>270</v>
      </c>
      <c r="C132" s="40" t="s">
        <v>136</v>
      </c>
      <c r="D132" s="40" t="s">
        <v>89</v>
      </c>
      <c r="E132" s="41">
        <v>50</v>
      </c>
      <c r="F132" s="41">
        <v>446</v>
      </c>
      <c r="G132" s="41">
        <v>966</v>
      </c>
      <c r="H132" s="42">
        <f t="shared" si="12"/>
        <v>706</v>
      </c>
      <c r="I132" s="43">
        <v>1</v>
      </c>
      <c r="J132" s="42">
        <f t="shared" si="13"/>
        <v>446</v>
      </c>
      <c r="K132" s="42">
        <f t="shared" si="14"/>
        <v>966</v>
      </c>
      <c r="L132" s="42">
        <f t="shared" si="15"/>
        <v>706</v>
      </c>
    </row>
    <row r="133" spans="1:12">
      <c r="A133" s="40">
        <v>128</v>
      </c>
      <c r="B133" s="40" t="s">
        <v>271</v>
      </c>
      <c r="C133" s="40" t="s">
        <v>136</v>
      </c>
      <c r="D133" s="40" t="s">
        <v>89</v>
      </c>
      <c r="E133" s="41">
        <v>50</v>
      </c>
      <c r="F133" s="41">
        <v>447</v>
      </c>
      <c r="G133" s="41">
        <v>2482</v>
      </c>
      <c r="H133" s="42">
        <f t="shared" si="12"/>
        <v>1464.5</v>
      </c>
      <c r="I133" s="43">
        <v>1</v>
      </c>
      <c r="J133" s="42">
        <f t="shared" si="13"/>
        <v>447</v>
      </c>
      <c r="K133" s="42">
        <f t="shared" si="14"/>
        <v>2482</v>
      </c>
      <c r="L133" s="42">
        <f t="shared" si="15"/>
        <v>1464.5</v>
      </c>
    </row>
    <row r="134" spans="1:12">
      <c r="A134" s="40">
        <v>129</v>
      </c>
      <c r="B134" s="40" t="s">
        <v>272</v>
      </c>
      <c r="C134" s="40" t="s">
        <v>136</v>
      </c>
      <c r="D134" s="40" t="s">
        <v>88</v>
      </c>
      <c r="E134" s="41">
        <v>50</v>
      </c>
      <c r="F134" s="41">
        <v>446</v>
      </c>
      <c r="G134" s="41">
        <v>2340</v>
      </c>
      <c r="H134" s="42">
        <f t="shared" ref="H134:H165" si="16">AVERAGE(F134,G134)</f>
        <v>1393</v>
      </c>
      <c r="I134" s="43">
        <v>1</v>
      </c>
      <c r="J134" s="42">
        <f t="shared" ref="J134:J165" si="17">IF($I134=1,F134,"")</f>
        <v>446</v>
      </c>
      <c r="K134" s="42">
        <f t="shared" ref="K134:K165" si="18">IF($I134=1,G134,"")</f>
        <v>2340</v>
      </c>
      <c r="L134" s="42">
        <f t="shared" ref="L134:L165" si="19">IF($I134=1,H134,"")</f>
        <v>1393</v>
      </c>
    </row>
    <row r="135" spans="1:12">
      <c r="A135" s="40">
        <v>130</v>
      </c>
      <c r="B135" s="40" t="s">
        <v>273</v>
      </c>
      <c r="C135" s="40" t="s">
        <v>136</v>
      </c>
      <c r="D135" s="40" t="s">
        <v>89</v>
      </c>
      <c r="E135" s="41">
        <v>50</v>
      </c>
      <c r="F135" s="41">
        <v>614</v>
      </c>
      <c r="G135" s="41">
        <v>2973</v>
      </c>
      <c r="H135" s="42">
        <f t="shared" si="16"/>
        <v>1793.5</v>
      </c>
      <c r="I135" s="43">
        <v>1</v>
      </c>
      <c r="J135" s="42">
        <f t="shared" si="17"/>
        <v>614</v>
      </c>
      <c r="K135" s="42">
        <f t="shared" si="18"/>
        <v>2973</v>
      </c>
      <c r="L135" s="42">
        <f t="shared" si="19"/>
        <v>1793.5</v>
      </c>
    </row>
    <row r="136" spans="1:12">
      <c r="A136" s="40">
        <v>131</v>
      </c>
      <c r="B136" s="40" t="s">
        <v>274</v>
      </c>
      <c r="C136" s="40" t="s">
        <v>136</v>
      </c>
      <c r="D136" s="40" t="s">
        <v>89</v>
      </c>
      <c r="E136" s="41">
        <v>50</v>
      </c>
      <c r="F136" s="41">
        <v>376</v>
      </c>
      <c r="G136" s="41">
        <v>694</v>
      </c>
      <c r="H136" s="42">
        <f t="shared" si="16"/>
        <v>535</v>
      </c>
      <c r="I136" s="43">
        <v>1</v>
      </c>
      <c r="J136" s="42">
        <f t="shared" si="17"/>
        <v>376</v>
      </c>
      <c r="K136" s="42">
        <f t="shared" si="18"/>
        <v>694</v>
      </c>
      <c r="L136" s="42">
        <f t="shared" si="19"/>
        <v>535</v>
      </c>
    </row>
    <row r="137" spans="1:12">
      <c r="A137" s="40">
        <v>132</v>
      </c>
      <c r="B137" s="40" t="s">
        <v>275</v>
      </c>
      <c r="C137" s="40" t="s">
        <v>136</v>
      </c>
      <c r="D137" s="40" t="s">
        <v>89</v>
      </c>
      <c r="E137" s="41">
        <v>50</v>
      </c>
      <c r="F137" s="41">
        <v>378</v>
      </c>
      <c r="G137" s="41">
        <v>7382</v>
      </c>
      <c r="H137" s="42">
        <f t="shared" si="16"/>
        <v>3880</v>
      </c>
      <c r="I137" s="43">
        <v>1</v>
      </c>
      <c r="J137" s="42">
        <f t="shared" si="17"/>
        <v>378</v>
      </c>
      <c r="K137" s="42">
        <f t="shared" si="18"/>
        <v>7382</v>
      </c>
      <c r="L137" s="42">
        <f t="shared" si="19"/>
        <v>3880</v>
      </c>
    </row>
    <row r="138" spans="1:12">
      <c r="A138" s="40">
        <v>133</v>
      </c>
      <c r="B138" s="40" t="s">
        <v>276</v>
      </c>
      <c r="C138" s="40" t="s">
        <v>136</v>
      </c>
      <c r="D138" s="40" t="s">
        <v>89</v>
      </c>
      <c r="E138" s="41">
        <v>50</v>
      </c>
      <c r="F138" s="41">
        <v>619</v>
      </c>
      <c r="G138" s="41">
        <v>7656</v>
      </c>
      <c r="H138" s="42">
        <f t="shared" si="16"/>
        <v>4137.5</v>
      </c>
      <c r="I138" s="43">
        <v>1</v>
      </c>
      <c r="J138" s="42">
        <f t="shared" si="17"/>
        <v>619</v>
      </c>
      <c r="K138" s="42">
        <f t="shared" si="18"/>
        <v>7656</v>
      </c>
      <c r="L138" s="42">
        <f t="shared" si="19"/>
        <v>4137.5</v>
      </c>
    </row>
    <row r="139" spans="1:12">
      <c r="A139" s="40">
        <v>134</v>
      </c>
      <c r="B139" s="40" t="s">
        <v>277</v>
      </c>
      <c r="C139" s="40" t="s">
        <v>136</v>
      </c>
      <c r="D139" s="40" t="s">
        <v>89</v>
      </c>
      <c r="E139" s="41">
        <v>50</v>
      </c>
      <c r="F139" s="41">
        <v>447</v>
      </c>
      <c r="G139" s="41">
        <v>7034</v>
      </c>
      <c r="H139" s="42">
        <f t="shared" si="16"/>
        <v>3740.5</v>
      </c>
      <c r="I139" s="43">
        <v>1</v>
      </c>
      <c r="J139" s="42">
        <f t="shared" si="17"/>
        <v>447</v>
      </c>
      <c r="K139" s="42">
        <f t="shared" si="18"/>
        <v>7034</v>
      </c>
      <c r="L139" s="42">
        <f t="shared" si="19"/>
        <v>3740.5</v>
      </c>
    </row>
    <row r="140" spans="1:12">
      <c r="A140" s="40">
        <v>135</v>
      </c>
      <c r="B140" s="40" t="s">
        <v>278</v>
      </c>
      <c r="C140" s="40" t="s">
        <v>136</v>
      </c>
      <c r="D140" s="40" t="s">
        <v>89</v>
      </c>
      <c r="E140" s="41">
        <v>50</v>
      </c>
      <c r="F140" s="41">
        <v>447</v>
      </c>
      <c r="G140" s="41">
        <v>662</v>
      </c>
      <c r="H140" s="42">
        <f t="shared" si="16"/>
        <v>554.5</v>
      </c>
      <c r="I140" s="43">
        <v>1</v>
      </c>
      <c r="J140" s="42">
        <f t="shared" si="17"/>
        <v>447</v>
      </c>
      <c r="K140" s="42">
        <f t="shared" si="18"/>
        <v>662</v>
      </c>
      <c r="L140" s="42">
        <f t="shared" si="19"/>
        <v>554.5</v>
      </c>
    </row>
    <row r="141" spans="1:12">
      <c r="A141" s="40">
        <v>136</v>
      </c>
      <c r="B141" s="40" t="s">
        <v>279</v>
      </c>
      <c r="C141" s="40" t="s">
        <v>136</v>
      </c>
      <c r="D141" s="40" t="s">
        <v>89</v>
      </c>
      <c r="E141" s="41">
        <v>50</v>
      </c>
      <c r="F141" s="41">
        <v>296</v>
      </c>
      <c r="G141" s="41">
        <v>2035</v>
      </c>
      <c r="H141" s="42">
        <f t="shared" si="16"/>
        <v>1165.5</v>
      </c>
      <c r="I141" s="43">
        <v>1</v>
      </c>
      <c r="J141" s="42">
        <f t="shared" si="17"/>
        <v>296</v>
      </c>
      <c r="K141" s="42">
        <f t="shared" si="18"/>
        <v>2035</v>
      </c>
      <c r="L141" s="42">
        <f t="shared" si="19"/>
        <v>1165.5</v>
      </c>
    </row>
    <row r="142" spans="1:12">
      <c r="A142" s="40">
        <v>137</v>
      </c>
      <c r="B142" s="40" t="s">
        <v>280</v>
      </c>
      <c r="C142" s="40" t="s">
        <v>136</v>
      </c>
      <c r="D142" s="40" t="s">
        <v>88</v>
      </c>
      <c r="E142" s="41">
        <v>50</v>
      </c>
      <c r="F142" s="41">
        <v>721</v>
      </c>
      <c r="G142" s="41">
        <v>2684</v>
      </c>
      <c r="H142" s="42">
        <f t="shared" si="16"/>
        <v>1702.5</v>
      </c>
      <c r="I142" s="43">
        <v>1</v>
      </c>
      <c r="J142" s="42">
        <f t="shared" si="17"/>
        <v>721</v>
      </c>
      <c r="K142" s="42">
        <f t="shared" si="18"/>
        <v>2684</v>
      </c>
      <c r="L142" s="42">
        <f t="shared" si="19"/>
        <v>1702.5</v>
      </c>
    </row>
    <row r="143" spans="1:12">
      <c r="A143" s="40">
        <v>138</v>
      </c>
      <c r="B143" s="40" t="s">
        <v>281</v>
      </c>
      <c r="C143" s="40" t="s">
        <v>136</v>
      </c>
      <c r="D143" s="40" t="s">
        <v>89</v>
      </c>
      <c r="E143" s="41">
        <v>50</v>
      </c>
      <c r="F143" s="41">
        <v>297</v>
      </c>
      <c r="G143" s="41">
        <v>2186</v>
      </c>
      <c r="H143" s="42">
        <f t="shared" si="16"/>
        <v>1241.5</v>
      </c>
      <c r="I143" s="43">
        <v>1</v>
      </c>
      <c r="J143" s="42">
        <f t="shared" si="17"/>
        <v>297</v>
      </c>
      <c r="K143" s="42">
        <f t="shared" si="18"/>
        <v>2186</v>
      </c>
      <c r="L143" s="42">
        <f t="shared" si="19"/>
        <v>1241.5</v>
      </c>
    </row>
    <row r="144" spans="1:12">
      <c r="A144" s="40">
        <v>139</v>
      </c>
      <c r="B144" s="40" t="s">
        <v>282</v>
      </c>
      <c r="C144" s="40" t="s">
        <v>136</v>
      </c>
      <c r="D144" s="40" t="s">
        <v>89</v>
      </c>
      <c r="E144" s="41">
        <v>50</v>
      </c>
      <c r="F144" s="41">
        <v>358</v>
      </c>
      <c r="G144" s="41">
        <v>1313</v>
      </c>
      <c r="H144" s="42">
        <f t="shared" si="16"/>
        <v>835.5</v>
      </c>
      <c r="I144" s="43">
        <v>1</v>
      </c>
      <c r="J144" s="42">
        <f t="shared" si="17"/>
        <v>358</v>
      </c>
      <c r="K144" s="42">
        <f t="shared" si="18"/>
        <v>1313</v>
      </c>
      <c r="L144" s="42">
        <f t="shared" si="19"/>
        <v>835.5</v>
      </c>
    </row>
    <row r="145" spans="1:12">
      <c r="A145" s="40">
        <v>140</v>
      </c>
      <c r="B145" s="40" t="s">
        <v>283</v>
      </c>
      <c r="C145" s="40" t="s">
        <v>136</v>
      </c>
      <c r="D145" s="40" t="s">
        <v>89</v>
      </c>
      <c r="E145" s="41">
        <v>50</v>
      </c>
      <c r="F145" s="41">
        <v>448</v>
      </c>
      <c r="G145" s="41">
        <v>2547</v>
      </c>
      <c r="H145" s="42">
        <f t="shared" si="16"/>
        <v>1497.5</v>
      </c>
      <c r="I145" s="43">
        <v>1</v>
      </c>
      <c r="J145" s="42">
        <f t="shared" si="17"/>
        <v>448</v>
      </c>
      <c r="K145" s="42">
        <f t="shared" si="18"/>
        <v>2547</v>
      </c>
      <c r="L145" s="42">
        <f t="shared" si="19"/>
        <v>1497.5</v>
      </c>
    </row>
    <row r="146" spans="1:12">
      <c r="A146" s="40">
        <v>141</v>
      </c>
      <c r="B146" s="40" t="s">
        <v>284</v>
      </c>
      <c r="C146" s="40" t="s">
        <v>136</v>
      </c>
      <c r="D146" s="40" t="s">
        <v>89</v>
      </c>
      <c r="E146" s="41">
        <v>50</v>
      </c>
      <c r="F146" s="41">
        <v>447</v>
      </c>
      <c r="G146" s="41">
        <v>1639</v>
      </c>
      <c r="H146" s="42">
        <f t="shared" si="16"/>
        <v>1043</v>
      </c>
      <c r="I146" s="43">
        <v>1</v>
      </c>
      <c r="J146" s="42">
        <f t="shared" si="17"/>
        <v>447</v>
      </c>
      <c r="K146" s="42">
        <f t="shared" si="18"/>
        <v>1639</v>
      </c>
      <c r="L146" s="42">
        <f t="shared" si="19"/>
        <v>1043</v>
      </c>
    </row>
    <row r="147" spans="1:12">
      <c r="A147" s="40">
        <v>142</v>
      </c>
      <c r="B147" s="40" t="s">
        <v>285</v>
      </c>
      <c r="C147" s="40" t="s">
        <v>136</v>
      </c>
      <c r="D147" s="40" t="s">
        <v>89</v>
      </c>
      <c r="E147" s="41">
        <v>50</v>
      </c>
      <c r="F147" s="41">
        <v>418</v>
      </c>
      <c r="G147" s="41">
        <v>2492</v>
      </c>
      <c r="H147" s="42">
        <f t="shared" si="16"/>
        <v>1455</v>
      </c>
      <c r="I147" s="43">
        <v>1</v>
      </c>
      <c r="J147" s="42">
        <f t="shared" si="17"/>
        <v>418</v>
      </c>
      <c r="K147" s="42">
        <f t="shared" si="18"/>
        <v>2492</v>
      </c>
      <c r="L147" s="42">
        <f t="shared" si="19"/>
        <v>1455</v>
      </c>
    </row>
    <row r="148" spans="1:12">
      <c r="A148" s="40">
        <v>143</v>
      </c>
      <c r="B148" s="40" t="s">
        <v>286</v>
      </c>
      <c r="C148" s="40" t="s">
        <v>136</v>
      </c>
      <c r="D148" s="40" t="s">
        <v>89</v>
      </c>
      <c r="E148" s="41">
        <v>50</v>
      </c>
      <c r="F148" s="41">
        <v>675</v>
      </c>
      <c r="G148" s="41">
        <v>1641</v>
      </c>
      <c r="H148" s="42">
        <f t="shared" si="16"/>
        <v>1158</v>
      </c>
      <c r="I148" s="43">
        <v>1</v>
      </c>
      <c r="J148" s="42">
        <f t="shared" si="17"/>
        <v>675</v>
      </c>
      <c r="K148" s="42">
        <f t="shared" si="18"/>
        <v>1641</v>
      </c>
      <c r="L148" s="42">
        <f t="shared" si="19"/>
        <v>1158</v>
      </c>
    </row>
    <row r="149" spans="1:12">
      <c r="A149" s="40">
        <v>144</v>
      </c>
      <c r="B149" s="40" t="s">
        <v>287</v>
      </c>
      <c r="C149" s="40" t="s">
        <v>136</v>
      </c>
      <c r="D149" s="40" t="s">
        <v>88</v>
      </c>
      <c r="E149" s="41">
        <v>50</v>
      </c>
      <c r="F149" s="41">
        <v>389</v>
      </c>
      <c r="G149" s="41">
        <v>1610</v>
      </c>
      <c r="H149" s="42">
        <f t="shared" si="16"/>
        <v>999.5</v>
      </c>
      <c r="I149" s="43">
        <v>1</v>
      </c>
      <c r="J149" s="42">
        <f t="shared" si="17"/>
        <v>389</v>
      </c>
      <c r="K149" s="42">
        <f t="shared" si="18"/>
        <v>1610</v>
      </c>
      <c r="L149" s="42">
        <f t="shared" si="19"/>
        <v>999.5</v>
      </c>
    </row>
    <row r="150" spans="1:12">
      <c r="A150" s="40">
        <v>145</v>
      </c>
      <c r="B150" s="40" t="s">
        <v>288</v>
      </c>
      <c r="C150" s="40" t="s">
        <v>136</v>
      </c>
      <c r="D150" s="40" t="s">
        <v>88</v>
      </c>
      <c r="E150" s="41">
        <v>50</v>
      </c>
      <c r="F150" s="41">
        <v>303</v>
      </c>
      <c r="G150" s="41">
        <v>2143</v>
      </c>
      <c r="H150" s="42">
        <f t="shared" si="16"/>
        <v>1223</v>
      </c>
      <c r="I150" s="43">
        <v>1</v>
      </c>
      <c r="J150" s="42">
        <f t="shared" si="17"/>
        <v>303</v>
      </c>
      <c r="K150" s="42">
        <f t="shared" si="18"/>
        <v>2143</v>
      </c>
      <c r="L150" s="42">
        <f t="shared" si="19"/>
        <v>1223</v>
      </c>
    </row>
    <row r="151" spans="1:12">
      <c r="A151" s="40">
        <v>146</v>
      </c>
      <c r="B151" s="40" t="s">
        <v>289</v>
      </c>
      <c r="C151" s="40" t="s">
        <v>136</v>
      </c>
      <c r="D151" s="40" t="s">
        <v>88</v>
      </c>
      <c r="E151" s="41">
        <v>50</v>
      </c>
      <c r="F151" s="41">
        <v>387</v>
      </c>
      <c r="G151" s="41">
        <v>1253</v>
      </c>
      <c r="H151" s="42">
        <f t="shared" si="16"/>
        <v>820</v>
      </c>
      <c r="I151" s="43">
        <v>1</v>
      </c>
      <c r="J151" s="42">
        <f t="shared" si="17"/>
        <v>387</v>
      </c>
      <c r="K151" s="42">
        <f t="shared" si="18"/>
        <v>1253</v>
      </c>
      <c r="L151" s="42">
        <f t="shared" si="19"/>
        <v>820</v>
      </c>
    </row>
    <row r="152" spans="1:12">
      <c r="A152" s="40">
        <v>147</v>
      </c>
      <c r="B152" s="40" t="s">
        <v>290</v>
      </c>
      <c r="C152" s="40" t="s">
        <v>166</v>
      </c>
      <c r="D152" s="40" t="s">
        <v>91</v>
      </c>
      <c r="E152" s="41">
        <v>50</v>
      </c>
      <c r="F152" s="41">
        <v>318</v>
      </c>
      <c r="G152" s="41">
        <v>1911</v>
      </c>
      <c r="H152" s="42">
        <f t="shared" si="16"/>
        <v>1114.5</v>
      </c>
      <c r="I152" s="43">
        <v>1</v>
      </c>
      <c r="J152" s="42">
        <f t="shared" si="17"/>
        <v>318</v>
      </c>
      <c r="K152" s="42">
        <f t="shared" si="18"/>
        <v>1911</v>
      </c>
      <c r="L152" s="42">
        <f t="shared" si="19"/>
        <v>1114.5</v>
      </c>
    </row>
    <row r="153" spans="1:12">
      <c r="A153" s="40">
        <v>148</v>
      </c>
      <c r="B153" s="40" t="s">
        <v>291</v>
      </c>
      <c r="C153" s="40" t="s">
        <v>166</v>
      </c>
      <c r="D153" s="40" t="s">
        <v>91</v>
      </c>
      <c r="E153" s="41">
        <v>50</v>
      </c>
      <c r="F153" s="41">
        <v>379</v>
      </c>
      <c r="G153" s="41">
        <v>6665</v>
      </c>
      <c r="H153" s="42">
        <f t="shared" si="16"/>
        <v>3522</v>
      </c>
      <c r="I153" s="43">
        <v>1</v>
      </c>
      <c r="J153" s="42">
        <f t="shared" si="17"/>
        <v>379</v>
      </c>
      <c r="K153" s="42">
        <f t="shared" si="18"/>
        <v>6665</v>
      </c>
      <c r="L153" s="42">
        <f t="shared" si="19"/>
        <v>3522</v>
      </c>
    </row>
    <row r="154" spans="1:12">
      <c r="A154" s="40">
        <v>149</v>
      </c>
      <c r="B154" s="40" t="s">
        <v>292</v>
      </c>
      <c r="C154" s="40" t="s">
        <v>136</v>
      </c>
      <c r="D154" s="40" t="s">
        <v>88</v>
      </c>
      <c r="E154" s="41">
        <v>50</v>
      </c>
      <c r="F154" s="41">
        <v>448</v>
      </c>
      <c r="G154" s="41">
        <v>2687</v>
      </c>
      <c r="H154" s="42">
        <f t="shared" si="16"/>
        <v>1567.5</v>
      </c>
      <c r="I154" s="43">
        <v>1</v>
      </c>
      <c r="J154" s="42">
        <f t="shared" si="17"/>
        <v>448</v>
      </c>
      <c r="K154" s="42">
        <f t="shared" si="18"/>
        <v>2687</v>
      </c>
      <c r="L154" s="42">
        <f t="shared" si="19"/>
        <v>1567.5</v>
      </c>
    </row>
    <row r="155" spans="1:12">
      <c r="A155" s="40">
        <v>150</v>
      </c>
      <c r="B155" s="40" t="s">
        <v>293</v>
      </c>
      <c r="C155" s="40" t="s">
        <v>136</v>
      </c>
      <c r="D155" s="40" t="s">
        <v>89</v>
      </c>
      <c r="E155" s="41">
        <v>50</v>
      </c>
      <c r="F155" s="41">
        <v>378</v>
      </c>
      <c r="G155" s="41">
        <v>2684</v>
      </c>
      <c r="H155" s="42">
        <f t="shared" si="16"/>
        <v>1531</v>
      </c>
      <c r="I155" s="43">
        <v>1</v>
      </c>
      <c r="J155" s="42">
        <f t="shared" si="17"/>
        <v>378</v>
      </c>
      <c r="K155" s="42">
        <f t="shared" si="18"/>
        <v>2684</v>
      </c>
      <c r="L155" s="42">
        <f t="shared" si="19"/>
        <v>1531</v>
      </c>
    </row>
    <row r="156" spans="1:12">
      <c r="A156" s="40">
        <v>151</v>
      </c>
      <c r="B156" s="40" t="s">
        <v>294</v>
      </c>
      <c r="C156" s="40" t="s">
        <v>136</v>
      </c>
      <c r="D156" s="40" t="s">
        <v>92</v>
      </c>
      <c r="E156" s="41">
        <v>50</v>
      </c>
      <c r="F156" s="41">
        <v>793</v>
      </c>
      <c r="G156" s="41">
        <v>2888</v>
      </c>
      <c r="H156" s="42">
        <f t="shared" si="16"/>
        <v>1840.5</v>
      </c>
      <c r="I156" s="43">
        <v>1</v>
      </c>
      <c r="J156" s="42">
        <f t="shared" si="17"/>
        <v>793</v>
      </c>
      <c r="K156" s="42">
        <f t="shared" si="18"/>
        <v>2888</v>
      </c>
      <c r="L156" s="42">
        <f t="shared" si="19"/>
        <v>1840.5</v>
      </c>
    </row>
    <row r="157" spans="1:12">
      <c r="A157" s="40">
        <v>152</v>
      </c>
      <c r="B157" s="40" t="s">
        <v>295</v>
      </c>
      <c r="C157" s="40" t="s">
        <v>136</v>
      </c>
      <c r="D157" s="40" t="s">
        <v>88</v>
      </c>
      <c r="E157" s="41">
        <v>50</v>
      </c>
      <c r="F157" s="41">
        <v>375</v>
      </c>
      <c r="G157" s="41">
        <v>2685</v>
      </c>
      <c r="H157" s="42">
        <f t="shared" si="16"/>
        <v>1530</v>
      </c>
      <c r="I157" s="43">
        <v>1</v>
      </c>
      <c r="J157" s="42">
        <f t="shared" si="17"/>
        <v>375</v>
      </c>
      <c r="K157" s="42">
        <f t="shared" si="18"/>
        <v>2685</v>
      </c>
      <c r="L157" s="42">
        <f t="shared" si="19"/>
        <v>1530</v>
      </c>
    </row>
    <row r="158" spans="1:12">
      <c r="A158" s="40">
        <v>153</v>
      </c>
      <c r="B158" s="40" t="s">
        <v>296</v>
      </c>
      <c r="C158" s="40" t="s">
        <v>136</v>
      </c>
      <c r="D158" s="40" t="s">
        <v>92</v>
      </c>
      <c r="E158" s="41">
        <v>50</v>
      </c>
      <c r="F158" s="41">
        <v>448</v>
      </c>
      <c r="G158" s="41">
        <v>3219</v>
      </c>
      <c r="H158" s="42">
        <f t="shared" si="16"/>
        <v>1833.5</v>
      </c>
      <c r="I158" s="43">
        <v>1</v>
      </c>
      <c r="J158" s="42">
        <f t="shared" si="17"/>
        <v>448</v>
      </c>
      <c r="K158" s="42">
        <f t="shared" si="18"/>
        <v>3219</v>
      </c>
      <c r="L158" s="42">
        <f t="shared" si="19"/>
        <v>1833.5</v>
      </c>
    </row>
    <row r="159" spans="1:12">
      <c r="A159" s="40">
        <v>154</v>
      </c>
      <c r="B159" s="40" t="s">
        <v>297</v>
      </c>
      <c r="C159" s="40" t="s">
        <v>136</v>
      </c>
      <c r="D159" s="40" t="s">
        <v>92</v>
      </c>
      <c r="E159" s="41">
        <v>50</v>
      </c>
      <c r="F159" s="41">
        <v>676</v>
      </c>
      <c r="G159" s="41">
        <v>7574</v>
      </c>
      <c r="H159" s="42">
        <f t="shared" si="16"/>
        <v>4125</v>
      </c>
      <c r="I159" s="43">
        <v>1</v>
      </c>
      <c r="J159" s="42">
        <f t="shared" si="17"/>
        <v>676</v>
      </c>
      <c r="K159" s="42">
        <f t="shared" si="18"/>
        <v>7574</v>
      </c>
      <c r="L159" s="42">
        <f t="shared" si="19"/>
        <v>4125</v>
      </c>
    </row>
    <row r="160" spans="1:12">
      <c r="A160" s="40">
        <v>155</v>
      </c>
      <c r="B160" s="40" t="s">
        <v>298</v>
      </c>
      <c r="C160" s="40" t="s">
        <v>136</v>
      </c>
      <c r="D160" s="40" t="s">
        <v>88</v>
      </c>
      <c r="E160" s="41">
        <v>50</v>
      </c>
      <c r="F160" s="41">
        <v>368</v>
      </c>
      <c r="G160" s="41">
        <v>2605</v>
      </c>
      <c r="H160" s="42">
        <f t="shared" si="16"/>
        <v>1486.5</v>
      </c>
      <c r="I160" s="43">
        <v>1</v>
      </c>
      <c r="J160" s="42">
        <f t="shared" si="17"/>
        <v>368</v>
      </c>
      <c r="K160" s="42">
        <f t="shared" si="18"/>
        <v>2605</v>
      </c>
      <c r="L160" s="42">
        <f t="shared" si="19"/>
        <v>1486.5</v>
      </c>
    </row>
    <row r="161" spans="1:12">
      <c r="A161" s="40">
        <v>156</v>
      </c>
      <c r="B161" s="40" t="s">
        <v>299</v>
      </c>
      <c r="C161" s="40" t="s">
        <v>136</v>
      </c>
      <c r="D161" s="40" t="s">
        <v>88</v>
      </c>
      <c r="E161" s="41">
        <v>50</v>
      </c>
      <c r="F161" s="41">
        <v>375</v>
      </c>
      <c r="G161" s="41">
        <v>746</v>
      </c>
      <c r="H161" s="42">
        <f t="shared" si="16"/>
        <v>560.5</v>
      </c>
      <c r="I161" s="43">
        <v>1</v>
      </c>
      <c r="J161" s="42">
        <f t="shared" si="17"/>
        <v>375</v>
      </c>
      <c r="K161" s="42">
        <f t="shared" si="18"/>
        <v>746</v>
      </c>
      <c r="L161" s="42">
        <f t="shared" si="19"/>
        <v>560.5</v>
      </c>
    </row>
    <row r="162" spans="1:12">
      <c r="A162" s="40">
        <v>157</v>
      </c>
      <c r="B162" s="40" t="s">
        <v>300</v>
      </c>
      <c r="C162" s="40" t="s">
        <v>136</v>
      </c>
      <c r="D162" s="40" t="s">
        <v>88</v>
      </c>
      <c r="E162" s="41">
        <v>50</v>
      </c>
      <c r="F162" s="41">
        <v>393</v>
      </c>
      <c r="G162" s="41">
        <v>1833</v>
      </c>
      <c r="H162" s="42">
        <f t="shared" si="16"/>
        <v>1113</v>
      </c>
      <c r="I162" s="43">
        <v>1</v>
      </c>
      <c r="J162" s="42">
        <f t="shared" si="17"/>
        <v>393</v>
      </c>
      <c r="K162" s="42">
        <f t="shared" si="18"/>
        <v>1833</v>
      </c>
      <c r="L162" s="42">
        <f t="shared" si="19"/>
        <v>1113</v>
      </c>
    </row>
    <row r="163" spans="1:12">
      <c r="A163" s="40">
        <v>158</v>
      </c>
      <c r="B163" s="40" t="s">
        <v>301</v>
      </c>
      <c r="C163" s="40" t="s">
        <v>136</v>
      </c>
      <c r="D163" s="40" t="s">
        <v>92</v>
      </c>
      <c r="E163" s="41">
        <v>50</v>
      </c>
      <c r="F163" s="41">
        <v>447</v>
      </c>
      <c r="G163" s="41">
        <v>2679</v>
      </c>
      <c r="H163" s="42">
        <f t="shared" si="16"/>
        <v>1563</v>
      </c>
      <c r="I163" s="43">
        <v>1</v>
      </c>
      <c r="J163" s="42">
        <f t="shared" si="17"/>
        <v>447</v>
      </c>
      <c r="K163" s="42">
        <f t="shared" si="18"/>
        <v>2679</v>
      </c>
      <c r="L163" s="42">
        <f t="shared" si="19"/>
        <v>1563</v>
      </c>
    </row>
    <row r="164" spans="1:12">
      <c r="A164" s="40">
        <v>159</v>
      </c>
      <c r="B164" s="40" t="s">
        <v>302</v>
      </c>
      <c r="C164" s="40" t="s">
        <v>136</v>
      </c>
      <c r="D164" s="40" t="s">
        <v>88</v>
      </c>
      <c r="E164" s="41">
        <v>50</v>
      </c>
      <c r="F164" s="41">
        <v>377</v>
      </c>
      <c r="G164" s="41">
        <v>1833</v>
      </c>
      <c r="H164" s="42">
        <f t="shared" si="16"/>
        <v>1105</v>
      </c>
      <c r="I164" s="43">
        <v>1</v>
      </c>
      <c r="J164" s="42">
        <f t="shared" si="17"/>
        <v>377</v>
      </c>
      <c r="K164" s="42">
        <f t="shared" si="18"/>
        <v>1833</v>
      </c>
      <c r="L164" s="42">
        <f t="shared" si="19"/>
        <v>1105</v>
      </c>
    </row>
    <row r="165" spans="1:12">
      <c r="A165" s="40">
        <v>160</v>
      </c>
      <c r="B165" s="40" t="s">
        <v>303</v>
      </c>
      <c r="C165" s="40" t="s">
        <v>136</v>
      </c>
      <c r="D165" s="40" t="s">
        <v>88</v>
      </c>
      <c r="E165" s="41">
        <v>50</v>
      </c>
      <c r="F165" s="41">
        <v>377</v>
      </c>
      <c r="G165" s="41">
        <v>3108</v>
      </c>
      <c r="H165" s="42">
        <f t="shared" si="16"/>
        <v>1742.5</v>
      </c>
      <c r="I165" s="43">
        <v>1</v>
      </c>
      <c r="J165" s="42">
        <f t="shared" si="17"/>
        <v>377</v>
      </c>
      <c r="K165" s="42">
        <f t="shared" si="18"/>
        <v>3108</v>
      </c>
      <c r="L165" s="42">
        <f t="shared" si="19"/>
        <v>1742.5</v>
      </c>
    </row>
    <row r="166" spans="1:12">
      <c r="A166" s="40">
        <v>161</v>
      </c>
      <c r="B166" s="40" t="s">
        <v>304</v>
      </c>
      <c r="C166" s="40" t="s">
        <v>136</v>
      </c>
      <c r="D166" s="40" t="s">
        <v>88</v>
      </c>
      <c r="E166" s="41">
        <v>50</v>
      </c>
      <c r="F166" s="41">
        <v>377</v>
      </c>
      <c r="G166" s="41">
        <v>1615</v>
      </c>
      <c r="H166" s="42">
        <f t="shared" ref="H166:H197" si="20">AVERAGE(F166,G166)</f>
        <v>996</v>
      </c>
      <c r="I166" s="43">
        <v>1</v>
      </c>
      <c r="J166" s="42">
        <f t="shared" ref="J166:J172" si="21">IF($I166=1,F166,"")</f>
        <v>377</v>
      </c>
      <c r="K166" s="42">
        <f t="shared" ref="K166:K172" si="22">IF($I166=1,G166,"")</f>
        <v>1615</v>
      </c>
      <c r="L166" s="42">
        <f t="shared" ref="L166:L172" si="23">IF($I166=1,H166,"")</f>
        <v>996</v>
      </c>
    </row>
    <row r="167" spans="1:12">
      <c r="A167" s="40">
        <v>162</v>
      </c>
      <c r="B167" s="40" t="s">
        <v>305</v>
      </c>
      <c r="C167" s="40" t="s">
        <v>136</v>
      </c>
      <c r="D167" s="40" t="s">
        <v>88</v>
      </c>
      <c r="E167" s="41">
        <v>50</v>
      </c>
      <c r="F167" s="41">
        <v>378</v>
      </c>
      <c r="G167" s="41">
        <v>5169</v>
      </c>
      <c r="H167" s="42">
        <f t="shared" si="20"/>
        <v>2773.5</v>
      </c>
      <c r="I167" s="43">
        <v>1</v>
      </c>
      <c r="J167" s="42">
        <f t="shared" si="21"/>
        <v>378</v>
      </c>
      <c r="K167" s="42">
        <f t="shared" si="22"/>
        <v>5169</v>
      </c>
      <c r="L167" s="42">
        <f t="shared" si="23"/>
        <v>2773.5</v>
      </c>
    </row>
    <row r="168" spans="1:12">
      <c r="A168" s="40">
        <v>163</v>
      </c>
      <c r="B168" s="40" t="s">
        <v>306</v>
      </c>
      <c r="C168" s="40" t="s">
        <v>136</v>
      </c>
      <c r="D168" s="40" t="s">
        <v>88</v>
      </c>
      <c r="E168" s="41">
        <v>50</v>
      </c>
      <c r="F168" s="41">
        <v>278</v>
      </c>
      <c r="G168" s="41">
        <v>1481</v>
      </c>
      <c r="H168" s="42">
        <f t="shared" si="20"/>
        <v>879.5</v>
      </c>
      <c r="I168" s="43">
        <v>1</v>
      </c>
      <c r="J168" s="42">
        <f t="shared" si="21"/>
        <v>278</v>
      </c>
      <c r="K168" s="42">
        <f t="shared" si="22"/>
        <v>1481</v>
      </c>
      <c r="L168" s="42">
        <f t="shared" si="23"/>
        <v>879.5</v>
      </c>
    </row>
    <row r="169" spans="1:12">
      <c r="A169" s="40">
        <v>164</v>
      </c>
      <c r="B169" s="40" t="s">
        <v>307</v>
      </c>
      <c r="C169" s="40" t="s">
        <v>136</v>
      </c>
      <c r="D169" s="40" t="s">
        <v>88</v>
      </c>
      <c r="E169" s="41">
        <v>50</v>
      </c>
      <c r="F169" s="41">
        <v>420</v>
      </c>
      <c r="G169" s="41">
        <v>1613</v>
      </c>
      <c r="H169" s="42">
        <f t="shared" si="20"/>
        <v>1016.5</v>
      </c>
      <c r="I169" s="43">
        <v>1</v>
      </c>
      <c r="J169" s="42">
        <f t="shared" si="21"/>
        <v>420</v>
      </c>
      <c r="K169" s="42">
        <f t="shared" si="22"/>
        <v>1613</v>
      </c>
      <c r="L169" s="42">
        <f t="shared" si="23"/>
        <v>1016.5</v>
      </c>
    </row>
    <row r="170" spans="1:12">
      <c r="A170" s="40">
        <v>165</v>
      </c>
      <c r="B170" s="40" t="s">
        <v>308</v>
      </c>
      <c r="C170" s="40" t="s">
        <v>136</v>
      </c>
      <c r="D170" s="40" t="s">
        <v>88</v>
      </c>
      <c r="E170" s="41">
        <v>50</v>
      </c>
      <c r="F170" s="41">
        <v>635</v>
      </c>
      <c r="G170" s="41">
        <v>2348</v>
      </c>
      <c r="H170" s="42">
        <f t="shared" si="20"/>
        <v>1491.5</v>
      </c>
      <c r="I170" s="43">
        <v>1</v>
      </c>
      <c r="J170" s="42">
        <f t="shared" si="21"/>
        <v>635</v>
      </c>
      <c r="K170" s="42">
        <f t="shared" si="22"/>
        <v>2348</v>
      </c>
      <c r="L170" s="42">
        <f t="shared" si="23"/>
        <v>1491.5</v>
      </c>
    </row>
    <row r="171" spans="1:12">
      <c r="A171" s="40">
        <v>166</v>
      </c>
      <c r="B171" s="40" t="s">
        <v>309</v>
      </c>
      <c r="C171" s="40" t="s">
        <v>136</v>
      </c>
      <c r="D171" s="40" t="s">
        <v>88</v>
      </c>
      <c r="E171" s="41">
        <v>50</v>
      </c>
      <c r="F171" s="41">
        <v>552</v>
      </c>
      <c r="G171" s="41">
        <v>2214</v>
      </c>
      <c r="H171" s="42">
        <f t="shared" si="20"/>
        <v>1383</v>
      </c>
      <c r="I171" s="43">
        <v>1</v>
      </c>
      <c r="J171" s="42">
        <f t="shared" si="21"/>
        <v>552</v>
      </c>
      <c r="K171" s="42">
        <f t="shared" si="22"/>
        <v>2214</v>
      </c>
      <c r="L171" s="42">
        <f t="shared" si="23"/>
        <v>1383</v>
      </c>
    </row>
    <row r="172" spans="1:12">
      <c r="A172" s="40">
        <v>167</v>
      </c>
      <c r="B172" s="40" t="s">
        <v>310</v>
      </c>
      <c r="C172" s="40" t="s">
        <v>136</v>
      </c>
      <c r="D172" s="40" t="s">
        <v>88</v>
      </c>
      <c r="E172" s="41">
        <v>50</v>
      </c>
      <c r="F172" s="41">
        <v>447</v>
      </c>
      <c r="G172" s="41">
        <v>4390</v>
      </c>
      <c r="H172" s="42">
        <f t="shared" si="20"/>
        <v>2418.5</v>
      </c>
      <c r="I172" s="43">
        <v>1</v>
      </c>
      <c r="J172" s="42">
        <f t="shared" si="21"/>
        <v>447</v>
      </c>
      <c r="K172" s="42">
        <f t="shared" si="22"/>
        <v>4390</v>
      </c>
      <c r="L172" s="42">
        <f t="shared" si="23"/>
        <v>2418.5</v>
      </c>
    </row>
  </sheetData>
  <mergeCells count="1">
    <mergeCell ref="A2:I2"/>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5"/>
  <sheetViews>
    <sheetView tabSelected="1" workbookViewId="0">
      <selection activeCell="A1" sqref="$A1:$XFD1048576"/>
    </sheetView>
  </sheetViews>
  <sheetFormatPr defaultColWidth="8.66666666666667" defaultRowHeight="14.4" outlineLevelCol="6"/>
  <cols>
    <col min="1" max="1" width="6" customWidth="1"/>
    <col min="2" max="2" width="46" customWidth="1"/>
    <col min="3" max="3" width="10" customWidth="1"/>
    <col min="4" max="4" width="16" customWidth="1"/>
    <col min="5" max="5" width="18" customWidth="1"/>
    <col min="6" max="6" width="62" customWidth="1"/>
    <col min="7" max="7" width="16" customWidth="1"/>
  </cols>
  <sheetData>
    <row r="1" ht="25.5" customHeight="1" spans="1:7">
      <c r="A1" s="1" t="s">
        <v>311</v>
      </c>
      <c r="B1" s="1"/>
      <c r="C1" s="1"/>
      <c r="D1" s="1"/>
      <c r="E1" s="1"/>
      <c r="F1" s="1"/>
      <c r="G1" s="1"/>
    </row>
    <row r="2" ht="30" customHeight="1" spans="1:7">
      <c r="A2" s="2" t="s">
        <v>312</v>
      </c>
      <c r="B2" s="2"/>
      <c r="C2" s="2"/>
      <c r="D2" s="2"/>
      <c r="E2" s="2"/>
      <c r="F2" s="2"/>
      <c r="G2" s="2"/>
    </row>
    <row r="3" customFormat="1" ht="42" customHeight="1"/>
    <row r="4" customFormat="1"/>
    <row r="5" ht="21.75" customHeight="1" spans="1:7">
      <c r="A5" s="3" t="s">
        <v>313</v>
      </c>
      <c r="B5" s="3"/>
      <c r="C5" s="3"/>
      <c r="D5" s="3"/>
      <c r="E5" s="3"/>
      <c r="F5" s="3"/>
      <c r="G5" s="3"/>
    </row>
    <row r="6" ht="30" customHeight="1" spans="1:7">
      <c r="A6" s="4" t="s">
        <v>123</v>
      </c>
      <c r="B6" s="4" t="s">
        <v>38</v>
      </c>
      <c r="C6" s="4"/>
      <c r="D6" s="4"/>
      <c r="E6" s="4" t="s">
        <v>314</v>
      </c>
      <c r="F6" s="4" t="s">
        <v>315</v>
      </c>
      <c r="G6" s="4" t="s">
        <v>41</v>
      </c>
    </row>
    <row r="7" spans="1:7">
      <c r="A7" s="5">
        <v>1</v>
      </c>
      <c r="B7" s="6" t="s">
        <v>316</v>
      </c>
      <c r="C7" s="6"/>
      <c r="D7" s="6"/>
      <c r="E7" s="7">
        <v>30000000</v>
      </c>
      <c r="F7" s="8" t="s">
        <v>317</v>
      </c>
      <c r="G7" s="5" t="s">
        <v>45</v>
      </c>
    </row>
    <row r="8" spans="1:7">
      <c r="A8" s="5">
        <v>2</v>
      </c>
      <c r="B8" s="6" t="s">
        <v>318</v>
      </c>
      <c r="C8" s="6"/>
      <c r="D8" s="6"/>
      <c r="E8" s="7">
        <v>15000000</v>
      </c>
      <c r="F8" s="8" t="s">
        <v>319</v>
      </c>
      <c r="G8" s="5" t="s">
        <v>45</v>
      </c>
    </row>
    <row r="9" spans="1:7">
      <c r="A9" s="5">
        <v>3</v>
      </c>
      <c r="B9" s="6" t="s">
        <v>320</v>
      </c>
      <c r="C9" s="6"/>
      <c r="D9" s="6"/>
      <c r="E9" s="7">
        <v>7500000</v>
      </c>
      <c r="F9" s="8" t="s">
        <v>321</v>
      </c>
      <c r="G9" s="5" t="s">
        <v>45</v>
      </c>
    </row>
    <row r="10" spans="1:7">
      <c r="A10" s="5">
        <v>4</v>
      </c>
      <c r="B10" s="6" t="s">
        <v>322</v>
      </c>
      <c r="C10" s="6"/>
      <c r="D10" s="6"/>
      <c r="E10" s="7">
        <v>6000000</v>
      </c>
      <c r="F10" s="8" t="s">
        <v>321</v>
      </c>
      <c r="G10" s="5" t="s">
        <v>45</v>
      </c>
    </row>
    <row r="11" spans="1:7">
      <c r="A11" s="5">
        <v>5</v>
      </c>
      <c r="B11" s="6" t="s">
        <v>323</v>
      </c>
      <c r="C11" s="6"/>
      <c r="D11" s="6"/>
      <c r="E11" s="7">
        <v>1500000</v>
      </c>
      <c r="F11" s="8" t="s">
        <v>321</v>
      </c>
      <c r="G11" s="5" t="s">
        <v>45</v>
      </c>
    </row>
    <row r="12" spans="1:7">
      <c r="A12" s="5">
        <v>6</v>
      </c>
      <c r="B12" s="6" t="s">
        <v>324</v>
      </c>
      <c r="C12" s="6"/>
      <c r="D12" s="6"/>
      <c r="E12" s="7">
        <v>95000</v>
      </c>
      <c r="F12" s="8" t="s">
        <v>325</v>
      </c>
      <c r="G12" s="5" t="s">
        <v>52</v>
      </c>
    </row>
    <row r="13" ht="30" customHeight="1" spans="1:7">
      <c r="A13" s="6"/>
      <c r="B13" s="9" t="s">
        <v>326</v>
      </c>
      <c r="C13" s="10"/>
      <c r="D13" s="10"/>
      <c r="E13" s="11" t="str">
        <f>IF(E8+E9+E10+E11=E7,"Khớp","Lệch")</f>
        <v>Khớp</v>
      </c>
      <c r="F13" s="10" t="s">
        <v>327</v>
      </c>
      <c r="G13" s="10"/>
    </row>
    <row r="14" customFormat="1"/>
    <row r="15" ht="21.75" customHeight="1" spans="1:7">
      <c r="A15" s="3" t="s">
        <v>328</v>
      </c>
      <c r="B15" s="3"/>
      <c r="C15" s="3"/>
      <c r="D15" s="3"/>
      <c r="E15" s="3"/>
      <c r="F15" s="3"/>
      <c r="G15" s="3"/>
    </row>
    <row r="16" ht="30" customHeight="1" spans="1:7">
      <c r="A16" s="4" t="s">
        <v>123</v>
      </c>
      <c r="B16" s="4" t="s">
        <v>329</v>
      </c>
      <c r="C16" s="4" t="s">
        <v>330</v>
      </c>
      <c r="D16" s="4" t="s">
        <v>331</v>
      </c>
      <c r="E16" s="4" t="s">
        <v>332</v>
      </c>
      <c r="F16" s="4" t="s">
        <v>40</v>
      </c>
      <c r="G16" s="4" t="s">
        <v>41</v>
      </c>
    </row>
    <row r="17" ht="30" customHeight="1" spans="1:7">
      <c r="A17" s="5">
        <v>1</v>
      </c>
      <c r="B17" s="8" t="s">
        <v>333</v>
      </c>
      <c r="C17" s="6"/>
      <c r="D17" s="6"/>
      <c r="E17" s="12">
        <f>$E$9</f>
        <v>7500000</v>
      </c>
      <c r="F17" s="8" t="s">
        <v>334</v>
      </c>
      <c r="G17" s="5" t="s">
        <v>45</v>
      </c>
    </row>
    <row r="18" ht="26.25" customHeight="1" spans="1:7">
      <c r="A18" s="5">
        <v>2</v>
      </c>
      <c r="B18" s="6" t="s">
        <v>335</v>
      </c>
      <c r="C18" s="6"/>
      <c r="D18" s="6"/>
      <c r="E18" s="12">
        <f>$E$10</f>
        <v>6000000</v>
      </c>
      <c r="F18" s="8" t="s">
        <v>336</v>
      </c>
      <c r="G18" s="5" t="s">
        <v>45</v>
      </c>
    </row>
    <row r="19" spans="1:7">
      <c r="A19" s="6"/>
      <c r="B19" s="13" t="s">
        <v>337</v>
      </c>
      <c r="C19" s="10"/>
      <c r="D19" s="10"/>
      <c r="E19" s="14">
        <f>SUM(E17:E18)</f>
        <v>13500000</v>
      </c>
      <c r="F19" s="10"/>
      <c r="G19" s="10"/>
    </row>
    <row r="20" customFormat="1"/>
    <row r="21" ht="21.75" customHeight="1" spans="1:7">
      <c r="A21" s="3" t="s">
        <v>338</v>
      </c>
      <c r="B21" s="3"/>
      <c r="C21" s="3"/>
      <c r="D21" s="3"/>
      <c r="E21" s="3"/>
      <c r="F21" s="3"/>
      <c r="G21" s="3"/>
    </row>
    <row r="22" ht="30" customHeight="1" spans="1:7">
      <c r="A22" s="4" t="s">
        <v>123</v>
      </c>
      <c r="B22" s="4" t="s">
        <v>329</v>
      </c>
      <c r="C22" s="4" t="s">
        <v>330</v>
      </c>
      <c r="D22" s="4" t="s">
        <v>339</v>
      </c>
      <c r="E22" s="4" t="s">
        <v>340</v>
      </c>
      <c r="F22" s="4" t="s">
        <v>40</v>
      </c>
      <c r="G22" s="4" t="s">
        <v>41</v>
      </c>
    </row>
    <row r="23" ht="39.75" customHeight="1" spans="1:7">
      <c r="A23" s="5">
        <v>1</v>
      </c>
      <c r="B23" s="8" t="s">
        <v>341</v>
      </c>
      <c r="C23" s="15">
        <v>8</v>
      </c>
      <c r="D23" s="16">
        <v>500000</v>
      </c>
      <c r="E23" s="12">
        <f t="shared" ref="E23:E25" si="0">C23*D23</f>
        <v>4000000</v>
      </c>
      <c r="F23" s="8" t="s">
        <v>342</v>
      </c>
      <c r="G23" s="5" t="s">
        <v>45</v>
      </c>
    </row>
    <row r="24" ht="39.75" customHeight="1" spans="1:7">
      <c r="A24" s="5">
        <v>2</v>
      </c>
      <c r="B24" s="8" t="s">
        <v>343</v>
      </c>
      <c r="C24" s="17">
        <f>C23</f>
        <v>8</v>
      </c>
      <c r="D24" s="12">
        <f>$E$12</f>
        <v>95000</v>
      </c>
      <c r="E24" s="12">
        <f t="shared" si="0"/>
        <v>760000</v>
      </c>
      <c r="F24" s="8" t="s">
        <v>344</v>
      </c>
      <c r="G24" s="5" t="s">
        <v>52</v>
      </c>
    </row>
    <row r="25" ht="39.75" customHeight="1" spans="1:7">
      <c r="A25" s="5">
        <v>3</v>
      </c>
      <c r="B25" s="8" t="s">
        <v>345</v>
      </c>
      <c r="C25" s="17">
        <f>C23</f>
        <v>8</v>
      </c>
      <c r="D25" s="16">
        <v>30000</v>
      </c>
      <c r="E25" s="12">
        <f t="shared" si="0"/>
        <v>240000</v>
      </c>
      <c r="F25" s="8" t="s">
        <v>346</v>
      </c>
      <c r="G25" s="5" t="s">
        <v>45</v>
      </c>
    </row>
    <row r="26" spans="1:7">
      <c r="A26" s="6"/>
      <c r="B26" s="13" t="s">
        <v>347</v>
      </c>
      <c r="C26" s="10"/>
      <c r="D26" s="10"/>
      <c r="E26" s="14">
        <f>SUM(E23:E25)</f>
        <v>5000000</v>
      </c>
      <c r="F26" s="10"/>
      <c r="G26" s="10"/>
    </row>
    <row r="27" customFormat="1"/>
    <row r="28" ht="21.75" customHeight="1" spans="1:7">
      <c r="A28" s="3" t="s">
        <v>348</v>
      </c>
      <c r="B28" s="3"/>
      <c r="C28" s="3"/>
      <c r="D28" s="3"/>
      <c r="E28" s="3"/>
      <c r="F28" s="3"/>
      <c r="G28" s="3"/>
    </row>
    <row r="29" ht="30" customHeight="1" spans="1:7">
      <c r="A29" s="4" t="s">
        <v>123</v>
      </c>
      <c r="B29" s="4" t="s">
        <v>329</v>
      </c>
      <c r="C29" s="4" t="s">
        <v>330</v>
      </c>
      <c r="D29" s="4" t="s">
        <v>339</v>
      </c>
      <c r="E29" s="4" t="s">
        <v>340</v>
      </c>
      <c r="F29" s="4" t="s">
        <v>40</v>
      </c>
      <c r="G29" s="4" t="s">
        <v>41</v>
      </c>
    </row>
    <row r="30" ht="31.5" customHeight="1" spans="1:7">
      <c r="A30" s="5">
        <v>1</v>
      </c>
      <c r="B30" s="8" t="s">
        <v>349</v>
      </c>
      <c r="C30" s="15">
        <v>1</v>
      </c>
      <c r="D30" s="16">
        <v>2000000</v>
      </c>
      <c r="E30" s="12">
        <f>C30*D30</f>
        <v>2000000</v>
      </c>
      <c r="F30" s="8" t="s">
        <v>350</v>
      </c>
      <c r="G30" s="5" t="s">
        <v>45</v>
      </c>
    </row>
    <row r="31" spans="1:7">
      <c r="A31" s="6"/>
      <c r="B31" s="13" t="s">
        <v>351</v>
      </c>
      <c r="C31" s="10"/>
      <c r="D31" s="10"/>
      <c r="E31" s="14">
        <f>SUM(E30:E30)</f>
        <v>2000000</v>
      </c>
      <c r="F31" s="10"/>
      <c r="G31" s="10"/>
    </row>
    <row r="32" customFormat="1"/>
    <row r="33" ht="21.75" customHeight="1" spans="1:7">
      <c r="A33" s="3" t="s">
        <v>352</v>
      </c>
      <c r="B33" s="3"/>
      <c r="C33" s="3"/>
      <c r="D33" s="3"/>
      <c r="E33" s="3"/>
      <c r="F33" s="3"/>
      <c r="G33" s="3"/>
    </row>
    <row r="34" ht="30" customHeight="1" spans="1:7">
      <c r="A34" s="4" t="s">
        <v>123</v>
      </c>
      <c r="B34" s="4" t="s">
        <v>38</v>
      </c>
      <c r="C34" s="4"/>
      <c r="D34" s="4"/>
      <c r="E34" s="4" t="s">
        <v>39</v>
      </c>
      <c r="F34" s="4" t="s">
        <v>315</v>
      </c>
      <c r="G34" s="4" t="s">
        <v>41</v>
      </c>
    </row>
    <row r="35" ht="30" customHeight="1" spans="1:7">
      <c r="A35" s="5">
        <v>1</v>
      </c>
      <c r="B35" s="8" t="s">
        <v>353</v>
      </c>
      <c r="C35" s="18"/>
      <c r="D35" s="19"/>
      <c r="E35" s="20">
        <v>259200</v>
      </c>
      <c r="F35" s="8" t="s">
        <v>354</v>
      </c>
      <c r="G35" s="21" t="s">
        <v>52</v>
      </c>
    </row>
    <row r="36" ht="30" customHeight="1" spans="1:7">
      <c r="A36" s="5">
        <v>2</v>
      </c>
      <c r="B36" s="8" t="s">
        <v>355</v>
      </c>
      <c r="C36" s="18"/>
      <c r="D36" s="19"/>
      <c r="E36" s="20">
        <v>133350</v>
      </c>
      <c r="F36" s="8" t="s">
        <v>356</v>
      </c>
      <c r="G36" s="21" t="s">
        <v>52</v>
      </c>
    </row>
    <row r="37" ht="30" customHeight="1" spans="1:7">
      <c r="A37" s="5">
        <v>3</v>
      </c>
      <c r="B37" s="8" t="s">
        <v>357</v>
      </c>
      <c r="C37" s="18"/>
      <c r="D37" s="19"/>
      <c r="E37" s="22">
        <v>0.025</v>
      </c>
      <c r="F37" s="8" t="s">
        <v>358</v>
      </c>
      <c r="G37" s="21" t="s">
        <v>45</v>
      </c>
    </row>
    <row r="38" ht="30" customHeight="1" spans="1:7">
      <c r="A38" s="5">
        <v>4</v>
      </c>
      <c r="B38" s="8" t="s">
        <v>359</v>
      </c>
      <c r="C38" s="18"/>
      <c r="D38" s="19"/>
      <c r="E38" s="20">
        <v>1500</v>
      </c>
      <c r="F38" s="8" t="s">
        <v>360</v>
      </c>
      <c r="G38" s="21" t="s">
        <v>45</v>
      </c>
    </row>
    <row r="39" ht="30" customHeight="1" spans="1:7">
      <c r="A39" s="5">
        <v>5</v>
      </c>
      <c r="B39" s="8" t="s">
        <v>361</v>
      </c>
      <c r="C39" s="18"/>
      <c r="D39" s="19"/>
      <c r="E39" s="20">
        <v>14272</v>
      </c>
      <c r="F39" s="8" t="s">
        <v>362</v>
      </c>
      <c r="G39" s="21" t="s">
        <v>45</v>
      </c>
    </row>
    <row r="40" ht="30" customHeight="1" spans="1:7">
      <c r="A40" s="5">
        <v>6</v>
      </c>
      <c r="B40" s="8" t="s">
        <v>363</v>
      </c>
      <c r="C40" s="18"/>
      <c r="D40" s="19"/>
      <c r="E40" s="18">
        <f>ROUND(E39*E37,0)</f>
        <v>357</v>
      </c>
      <c r="F40" s="8" t="s">
        <v>364</v>
      </c>
      <c r="G40" s="21" t="s">
        <v>365</v>
      </c>
    </row>
    <row r="41" ht="30" customHeight="1" spans="1:7">
      <c r="A41" s="5">
        <v>7</v>
      </c>
      <c r="B41" s="8" t="s">
        <v>366</v>
      </c>
      <c r="C41" s="18"/>
      <c r="D41" s="19"/>
      <c r="E41" s="18">
        <f>E8+E9+E10</f>
        <v>28500000</v>
      </c>
      <c r="F41" s="8" t="s">
        <v>367</v>
      </c>
      <c r="G41" s="21" t="s">
        <v>45</v>
      </c>
    </row>
    <row r="42" ht="30" customHeight="1" spans="1:7">
      <c r="A42" s="5">
        <v>8</v>
      </c>
      <c r="B42" s="8" t="s">
        <v>368</v>
      </c>
      <c r="C42" s="18"/>
      <c r="D42" s="19"/>
      <c r="E42" s="20">
        <v>79832</v>
      </c>
      <c r="F42" s="8" t="s">
        <v>369</v>
      </c>
      <c r="G42" s="21" t="s">
        <v>52</v>
      </c>
    </row>
    <row r="43" ht="30" customHeight="1" spans="1:7">
      <c r="A43" s="5"/>
      <c r="B43" s="23" t="s">
        <v>370</v>
      </c>
      <c r="C43" s="6"/>
      <c r="D43" s="6"/>
      <c r="E43" s="24" t="str">
        <f>IF(ABS(E41/E40-E42)&lt;1,"Khớp","Lệch")</f>
        <v>Khớp</v>
      </c>
      <c r="F43" s="23" t="s">
        <v>327</v>
      </c>
      <c r="G43" s="5"/>
    </row>
    <row r="44" customFormat="1"/>
    <row r="45" ht="21.75" customHeight="1" spans="1:7">
      <c r="A45" s="3" t="s">
        <v>371</v>
      </c>
      <c r="B45" s="3"/>
      <c r="C45" s="3"/>
      <c r="D45" s="3"/>
      <c r="E45" s="3"/>
      <c r="F45" s="3"/>
      <c r="G45" s="3"/>
    </row>
    <row r="46" ht="30" customHeight="1" spans="1:7">
      <c r="A46" s="4" t="s">
        <v>123</v>
      </c>
      <c r="B46" s="4" t="s">
        <v>329</v>
      </c>
      <c r="C46" s="4"/>
      <c r="D46" s="4" t="s">
        <v>66</v>
      </c>
      <c r="E46" s="4" t="s">
        <v>372</v>
      </c>
      <c r="F46" s="4" t="s">
        <v>373</v>
      </c>
      <c r="G46" s="4" t="s">
        <v>41</v>
      </c>
    </row>
    <row r="47" ht="30" customHeight="1" spans="1:7">
      <c r="A47" s="5">
        <v>1</v>
      </c>
      <c r="B47" s="8" t="s">
        <v>374</v>
      </c>
      <c r="C47" s="18"/>
      <c r="D47" s="25">
        <v>0.1</v>
      </c>
      <c r="E47" s="18"/>
      <c r="F47" s="8" t="s">
        <v>375</v>
      </c>
      <c r="G47" s="21" t="s">
        <v>45</v>
      </c>
    </row>
    <row r="48" ht="42.75" customHeight="1" spans="1:7">
      <c r="A48" s="5">
        <v>2</v>
      </c>
      <c r="B48" s="8" t="s">
        <v>376</v>
      </c>
      <c r="C48" s="18"/>
      <c r="D48" s="25">
        <v>0.1</v>
      </c>
      <c r="E48" s="18"/>
      <c r="F48" s="8" t="s">
        <v>377</v>
      </c>
      <c r="G48" s="21" t="s">
        <v>45</v>
      </c>
    </row>
    <row r="49" ht="30" customHeight="1" spans="1:7">
      <c r="A49" s="5">
        <v>3</v>
      </c>
      <c r="B49" s="8" t="s">
        <v>378</v>
      </c>
      <c r="C49" s="18"/>
      <c r="D49" s="26">
        <f>E38/E39</f>
        <v>0.105100896860987</v>
      </c>
      <c r="E49" s="18"/>
      <c r="F49" s="8" t="s">
        <v>379</v>
      </c>
      <c r="G49" s="21" t="s">
        <v>380</v>
      </c>
    </row>
    <row r="50" ht="18" customHeight="1" spans="1:7">
      <c r="A50" s="5">
        <v>4</v>
      </c>
      <c r="B50" s="8" t="s">
        <v>381</v>
      </c>
      <c r="C50" s="18"/>
      <c r="D50" s="19"/>
      <c r="E50" s="27">
        <f>E40*D48</f>
        <v>35.7</v>
      </c>
      <c r="F50" s="8" t="s">
        <v>382</v>
      </c>
      <c r="G50" s="21" t="s">
        <v>383</v>
      </c>
    </row>
    <row r="51" ht="18" customHeight="1" spans="1:7">
      <c r="A51" s="5">
        <v>5</v>
      </c>
      <c r="B51" s="8" t="s">
        <v>384</v>
      </c>
      <c r="C51" s="18"/>
      <c r="D51" s="19"/>
      <c r="E51" s="18">
        <f>E50*E35</f>
        <v>9253440</v>
      </c>
      <c r="F51" s="8" t="s">
        <v>385</v>
      </c>
      <c r="G51" s="21" t="s">
        <v>383</v>
      </c>
    </row>
    <row r="52" ht="30" customHeight="1" spans="1:7">
      <c r="A52" s="5">
        <v>6</v>
      </c>
      <c r="B52" s="9" t="s">
        <v>386</v>
      </c>
      <c r="C52" s="28"/>
      <c r="D52" s="29"/>
      <c r="E52" s="30">
        <f>D47*E51</f>
        <v>925344</v>
      </c>
      <c r="F52" s="23" t="s">
        <v>387</v>
      </c>
      <c r="G52" s="31" t="s">
        <v>383</v>
      </c>
    </row>
    <row r="53" ht="30" customHeight="1" spans="1:7">
      <c r="A53" s="5">
        <v>7</v>
      </c>
      <c r="B53" s="8" t="s">
        <v>388</v>
      </c>
      <c r="C53" s="18"/>
      <c r="D53" s="19"/>
      <c r="E53" s="18">
        <f>D47*E40*E35</f>
        <v>9253440</v>
      </c>
      <c r="F53" s="8" t="s">
        <v>389</v>
      </c>
      <c r="G53" s="21" t="s">
        <v>380</v>
      </c>
    </row>
    <row r="54" ht="30" customHeight="1" spans="1:7">
      <c r="A54" s="5">
        <v>8</v>
      </c>
      <c r="B54" s="8" t="s">
        <v>390</v>
      </c>
      <c r="C54" s="18"/>
      <c r="D54" s="19"/>
      <c r="E54" s="18">
        <f>E52/E40</f>
        <v>2592</v>
      </c>
      <c r="F54" s="8" t="s">
        <v>391</v>
      </c>
      <c r="G54" s="21" t="s">
        <v>383</v>
      </c>
    </row>
    <row r="55" customFormat="1"/>
    <row r="56" ht="21.75" customHeight="1" spans="1:7">
      <c r="A56" s="3" t="s">
        <v>392</v>
      </c>
      <c r="B56" s="3"/>
      <c r="C56" s="3"/>
      <c r="D56" s="3"/>
      <c r="E56" s="3"/>
      <c r="F56" s="3"/>
      <c r="G56" s="3"/>
    </row>
    <row r="57" ht="30" customHeight="1" spans="1:7">
      <c r="A57" s="4" t="s">
        <v>123</v>
      </c>
      <c r="B57" s="4" t="s">
        <v>393</v>
      </c>
      <c r="C57" s="4"/>
      <c r="D57" s="4" t="s">
        <v>66</v>
      </c>
      <c r="E57" s="4" t="s">
        <v>332</v>
      </c>
      <c r="F57" s="4" t="s">
        <v>7</v>
      </c>
      <c r="G57" s="4" t="s">
        <v>394</v>
      </c>
    </row>
    <row r="58" ht="18" customHeight="1" spans="1:7">
      <c r="A58" s="5">
        <v>1</v>
      </c>
      <c r="B58" s="8" t="s">
        <v>395</v>
      </c>
      <c r="C58" s="18"/>
      <c r="D58" s="19"/>
      <c r="E58" s="18">
        <f>E19</f>
        <v>13500000</v>
      </c>
      <c r="F58" s="8" t="s">
        <v>396</v>
      </c>
      <c r="G58" s="32">
        <f>E58/E62</f>
        <v>0.636792452830189</v>
      </c>
    </row>
    <row r="59" ht="18" customHeight="1" spans="1:7">
      <c r="A59" s="5">
        <v>2</v>
      </c>
      <c r="B59" s="8" t="s">
        <v>397</v>
      </c>
      <c r="C59" s="18"/>
      <c r="D59" s="19"/>
      <c r="E59" s="18">
        <f>E26</f>
        <v>5000000</v>
      </c>
      <c r="F59" s="8" t="s">
        <v>398</v>
      </c>
      <c r="G59" s="32">
        <f>E59/E62</f>
        <v>0.235849056603774</v>
      </c>
    </row>
    <row r="60" ht="18" customHeight="1" spans="1:7">
      <c r="A60" s="5">
        <v>3</v>
      </c>
      <c r="B60" s="8" t="s">
        <v>399</v>
      </c>
      <c r="C60" s="18"/>
      <c r="D60" s="19"/>
      <c r="E60" s="18">
        <f>E31</f>
        <v>2000000</v>
      </c>
      <c r="F60" s="8" t="s">
        <v>400</v>
      </c>
      <c r="G60" s="32">
        <f>E60/E62</f>
        <v>0.0943396226415094</v>
      </c>
    </row>
    <row r="61" ht="18" customHeight="1" spans="1:7">
      <c r="A61" s="5">
        <v>4</v>
      </c>
      <c r="B61" s="8" t="s">
        <v>401</v>
      </c>
      <c r="C61" s="18"/>
      <c r="D61" s="25">
        <v>0.1</v>
      </c>
      <c r="E61" s="18">
        <f>D61*(E59+E60)</f>
        <v>700000</v>
      </c>
      <c r="F61" s="8" t="s">
        <v>402</v>
      </c>
      <c r="G61" s="32">
        <f>E61/E62</f>
        <v>0.0330188679245283</v>
      </c>
    </row>
    <row r="62" ht="30" customHeight="1" spans="1:7">
      <c r="A62" s="6"/>
      <c r="B62" s="9" t="s">
        <v>403</v>
      </c>
      <c r="C62" s="10"/>
      <c r="D62" s="10"/>
      <c r="E62" s="30">
        <f>SUM(E58:E61)</f>
        <v>21200000</v>
      </c>
      <c r="F62" s="10"/>
      <c r="G62" s="33">
        <f>SUM(G58:G61)</f>
        <v>1</v>
      </c>
    </row>
    <row r="63" ht="18" customHeight="1" spans="1:7">
      <c r="A63" s="5">
        <v>5</v>
      </c>
      <c r="B63" s="8" t="s">
        <v>404</v>
      </c>
      <c r="C63" s="18"/>
      <c r="D63" s="19"/>
      <c r="E63" s="18">
        <f>E52</f>
        <v>925344</v>
      </c>
      <c r="F63" s="8" t="s">
        <v>405</v>
      </c>
      <c r="G63" s="21"/>
    </row>
    <row r="64" ht="30" customHeight="1" spans="1:7">
      <c r="A64" s="6"/>
      <c r="B64" s="9" t="s">
        <v>406</v>
      </c>
      <c r="C64" s="28"/>
      <c r="D64" s="29"/>
      <c r="E64" s="30">
        <f>E62+E63</f>
        <v>22125344</v>
      </c>
      <c r="F64" s="23"/>
      <c r="G64" s="31"/>
    </row>
    <row r="65" ht="18" customHeight="1" spans="1:7">
      <c r="A65" s="5">
        <v>6</v>
      </c>
      <c r="B65" s="8" t="s">
        <v>407</v>
      </c>
      <c r="C65" s="18"/>
      <c r="D65" s="19"/>
      <c r="E65" s="18">
        <f>$E$8</f>
        <v>15000000</v>
      </c>
      <c r="F65" s="8" t="s">
        <v>408</v>
      </c>
      <c r="G65" s="21"/>
    </row>
    <row r="66" ht="18" customHeight="1" spans="1:7">
      <c r="A66" s="5">
        <v>7</v>
      </c>
      <c r="B66" s="8" t="s">
        <v>409</v>
      </c>
      <c r="C66" s="18"/>
      <c r="D66" s="19"/>
      <c r="E66" s="18">
        <f>$E$11</f>
        <v>1500000</v>
      </c>
      <c r="F66" s="8" t="s">
        <v>410</v>
      </c>
      <c r="G66" s="21"/>
    </row>
    <row r="67" ht="30" customHeight="1" spans="1:7">
      <c r="A67" s="6"/>
      <c r="B67" s="9" t="s">
        <v>411</v>
      </c>
      <c r="C67" s="28"/>
      <c r="D67" s="29"/>
      <c r="E67" s="30">
        <f>E62+E65+E66</f>
        <v>37700000</v>
      </c>
      <c r="F67" s="23" t="s">
        <v>412</v>
      </c>
      <c r="G67" s="31"/>
    </row>
    <row r="68" ht="30" customHeight="1" spans="1:7">
      <c r="A68" s="6"/>
      <c r="B68" s="9" t="s">
        <v>413</v>
      </c>
      <c r="C68" s="28"/>
      <c r="D68" s="29"/>
      <c r="E68" s="30">
        <f>E67+E63</f>
        <v>38625344</v>
      </c>
      <c r="F68" s="23" t="s">
        <v>414</v>
      </c>
      <c r="G68" s="31"/>
    </row>
    <row r="69" ht="30" customHeight="1" spans="1:7">
      <c r="A69" s="5"/>
      <c r="B69" s="8" t="s">
        <v>415</v>
      </c>
      <c r="C69" s="18"/>
      <c r="D69" s="19"/>
      <c r="E69" s="26">
        <f>(E59+E60+E61)/$E$7</f>
        <v>0.256666666666667</v>
      </c>
      <c r="F69" s="8" t="s">
        <v>416</v>
      </c>
      <c r="G69" s="21"/>
    </row>
    <row r="70" customFormat="1"/>
    <row r="71" ht="21.75" customHeight="1" spans="1:7">
      <c r="A71" s="3" t="s">
        <v>417</v>
      </c>
      <c r="B71" s="3"/>
      <c r="C71" s="3"/>
      <c r="D71" s="3"/>
      <c r="E71" s="3"/>
      <c r="F71" s="3"/>
      <c r="G71" s="3"/>
    </row>
    <row r="72" ht="42" customHeight="1" spans="1:7">
      <c r="A72" s="4" t="s">
        <v>123</v>
      </c>
      <c r="B72" s="4" t="s">
        <v>418</v>
      </c>
      <c r="C72" s="4" t="s">
        <v>419</v>
      </c>
      <c r="D72" s="4" t="s">
        <v>420</v>
      </c>
      <c r="E72" s="4" t="s">
        <v>421</v>
      </c>
      <c r="F72" s="4" t="s">
        <v>422</v>
      </c>
      <c r="G72" s="4" t="s">
        <v>423</v>
      </c>
    </row>
    <row r="73" ht="30" customHeight="1" spans="1:7">
      <c r="A73" s="5">
        <v>1</v>
      </c>
      <c r="B73" s="8" t="s">
        <v>424</v>
      </c>
      <c r="C73" s="20">
        <v>1264</v>
      </c>
      <c r="D73" s="18">
        <f t="shared" ref="D73:D76" si="1">$E$41/C73</f>
        <v>22547.4683544304</v>
      </c>
      <c r="E73" s="18">
        <f t="shared" ref="E73:E76" si="2">D73+($E$59+$E$60+$E$61)/C73+$E$54</f>
        <v>31231.2405063291</v>
      </c>
      <c r="F73" s="8" t="str">
        <f t="shared" ref="F73:F76" si="3">IF(G73&gt;=0,"Còn lãi gộp sau khi tính cả KOC và triển khai; chưa tính phí nền tảng, vận chuyển, hoàn-hủy.","CPO đầy đủ vượt lãi gộp/đơn: lỗ ở mức gộp, chưa tính các chi phí khác.")</f>
        <v>Còn lãi gộp sau khi tính cả KOC và triển khai; chưa tính phí nền tảng, vận chuyển, hoàn-hủy.</v>
      </c>
      <c r="G73" s="18">
        <f t="shared" ref="G73:G76" si="4">$E$36-E73</f>
        <v>102118.759493671</v>
      </c>
    </row>
    <row r="74" ht="30" customHeight="1" spans="1:7">
      <c r="A74" s="5">
        <v>2</v>
      </c>
      <c r="B74" s="8" t="s">
        <v>425</v>
      </c>
      <c r="C74" s="18">
        <f>E40</f>
        <v>357</v>
      </c>
      <c r="D74" s="18">
        <f t="shared" si="1"/>
        <v>79831.9327731092</v>
      </c>
      <c r="E74" s="18">
        <f t="shared" si="2"/>
        <v>103992.56022409</v>
      </c>
      <c r="F74" s="8" t="str">
        <f t="shared" si="3"/>
        <v>Còn lãi gộp sau khi tính cả KOC và triển khai; chưa tính phí nền tảng, vận chuyển, hoàn-hủy.</v>
      </c>
      <c r="G74" s="18">
        <f t="shared" si="4"/>
        <v>29357.4397759104</v>
      </c>
    </row>
    <row r="75" ht="30" customHeight="1" spans="1:7">
      <c r="A75" s="5">
        <v>3</v>
      </c>
      <c r="B75" s="8" t="s">
        <v>426</v>
      </c>
      <c r="C75" s="20">
        <v>218</v>
      </c>
      <c r="D75" s="18">
        <f t="shared" si="1"/>
        <v>130733.944954128</v>
      </c>
      <c r="E75" s="18">
        <f t="shared" si="2"/>
        <v>168647.04587156</v>
      </c>
      <c r="F75" s="8" t="str">
        <f t="shared" si="3"/>
        <v>CPO đầy đủ vượt lãi gộp/đơn: lỗ ở mức gộp, chưa tính các chi phí khác.</v>
      </c>
      <c r="G75" s="18">
        <f t="shared" si="4"/>
        <v>-35297.0458715596</v>
      </c>
    </row>
    <row r="76" ht="30" customHeight="1" spans="1:7">
      <c r="A76" s="5">
        <v>4</v>
      </c>
      <c r="B76" s="8" t="s">
        <v>427</v>
      </c>
      <c r="C76" s="20">
        <v>165</v>
      </c>
      <c r="D76" s="18">
        <f t="shared" si="1"/>
        <v>172727.272727273</v>
      </c>
      <c r="E76" s="18">
        <f t="shared" si="2"/>
        <v>221985.939393939</v>
      </c>
      <c r="F76" s="8" t="str">
        <f t="shared" si="3"/>
        <v>CPO đầy đủ vượt lãi gộp/đơn: lỗ ở mức gộp, chưa tính các chi phí khác.</v>
      </c>
      <c r="G76" s="18">
        <f t="shared" si="4"/>
        <v>-88635.9393939394</v>
      </c>
    </row>
    <row r="77" ht="42" customHeight="1" spans="1:7">
      <c r="A77" s="6"/>
      <c r="B77" s="9" t="s">
        <v>428</v>
      </c>
      <c r="C77" s="30">
        <f>ROUNDUP(($E$41+$E$59+$E$60+$E$61)/($E$36-$E$54),0)</f>
        <v>277</v>
      </c>
      <c r="D77" s="10"/>
      <c r="E77" s="14"/>
      <c r="F77" s="23" t="str">
        <f>"So với "&amp;TEXT(E40,"#,##0")&amp;" đơn ở kịch bản Cơ sở. Chi phí cố định = quảng cáo 3 kênh + KOC + triển khai + dự phòng KOC; chưa gồm dự phòng quảng cáo 1.500.000 đ."</f>
        <v>So với 357 đơn ở kịch bản Cơ sở. Chi phí cố định = quảng cáo 3 kênh + KOC + triển khai + dự phòng KOC; chưa gồm dự phòng quảng cáo 1.500.000 đ.</v>
      </c>
      <c r="G77" s="10"/>
    </row>
    <row r="78" ht="30" customHeight="1" spans="1:7">
      <c r="A78" s="34" t="s">
        <v>429</v>
      </c>
      <c r="B78" s="34"/>
      <c r="C78" s="34"/>
      <c r="D78" s="34"/>
      <c r="E78" s="34"/>
      <c r="F78" s="34"/>
      <c r="G78" s="34"/>
    </row>
    <row r="79" customFormat="1"/>
    <row r="80" ht="21.75" customHeight="1" spans="1:7">
      <c r="A80" s="3" t="s">
        <v>430</v>
      </c>
      <c r="B80" s="3"/>
      <c r="C80" s="3"/>
      <c r="D80" s="3"/>
      <c r="E80" s="3"/>
      <c r="F80" s="3"/>
      <c r="G80" s="3"/>
    </row>
    <row r="81" ht="30" customHeight="1" spans="1:7">
      <c r="A81" s="34" t="s">
        <v>431</v>
      </c>
      <c r="B81" s="34"/>
      <c r="C81" s="34"/>
      <c r="D81" s="34"/>
      <c r="E81" s="34"/>
      <c r="F81" s="34"/>
      <c r="G81" s="34"/>
    </row>
    <row r="82" ht="30" customHeight="1" spans="1:7">
      <c r="A82" s="34" t="s">
        <v>432</v>
      </c>
      <c r="B82" s="34"/>
      <c r="C82" s="34"/>
      <c r="D82" s="34"/>
      <c r="E82" s="34"/>
      <c r="F82" s="34"/>
      <c r="G82" s="34"/>
    </row>
    <row r="83" ht="30" customHeight="1" spans="1:7">
      <c r="A83" s="34" t="s">
        <v>433</v>
      </c>
      <c r="B83" s="34"/>
      <c r="C83" s="34"/>
      <c r="D83" s="34"/>
      <c r="E83" s="34"/>
      <c r="F83" s="34"/>
      <c r="G83" s="34"/>
    </row>
    <row r="84" ht="30" customHeight="1" spans="1:7">
      <c r="A84" s="34" t="s">
        <v>434</v>
      </c>
      <c r="B84" s="34"/>
      <c r="C84" s="34"/>
      <c r="D84" s="34"/>
      <c r="E84" s="34"/>
      <c r="F84" s="34"/>
      <c r="G84" s="34"/>
    </row>
    <row r="85" ht="30" customHeight="1" spans="1:7">
      <c r="A85" s="34" t="s">
        <v>435</v>
      </c>
      <c r="B85" s="34"/>
      <c r="C85" s="34"/>
      <c r="D85" s="34"/>
      <c r="E85" s="34"/>
      <c r="F85" s="34"/>
      <c r="G85" s="34"/>
    </row>
    <row r="86" ht="30" customHeight="1" spans="1:7">
      <c r="A86" s="34" t="s">
        <v>436</v>
      </c>
      <c r="B86" s="34"/>
      <c r="C86" s="34"/>
      <c r="D86" s="34"/>
      <c r="E86" s="34"/>
      <c r="F86" s="34"/>
      <c r="G86" s="34"/>
    </row>
    <row r="87" ht="30" customHeight="1" spans="1:7">
      <c r="A87" s="34" t="s">
        <v>437</v>
      </c>
      <c r="B87" s="34"/>
      <c r="C87" s="34"/>
      <c r="D87" s="34"/>
      <c r="E87" s="34"/>
      <c r="F87" s="34"/>
      <c r="G87" s="34"/>
    </row>
    <row r="88" customFormat="1"/>
    <row r="89" ht="21.75" customHeight="1" spans="1:7">
      <c r="A89" s="3" t="s">
        <v>438</v>
      </c>
      <c r="B89" s="3"/>
      <c r="C89" s="3"/>
      <c r="D89" s="3"/>
      <c r="E89" s="3"/>
      <c r="F89" s="3"/>
      <c r="G89" s="3"/>
    </row>
    <row r="90" ht="30" customHeight="1" spans="1:7">
      <c r="A90" s="4" t="s">
        <v>123</v>
      </c>
      <c r="B90" s="4" t="s">
        <v>439</v>
      </c>
      <c r="C90" s="4"/>
      <c r="D90" s="4"/>
      <c r="E90" s="4" t="s">
        <v>314</v>
      </c>
      <c r="F90" s="4" t="s">
        <v>440</v>
      </c>
      <c r="G90" s="4" t="s">
        <v>41</v>
      </c>
    </row>
    <row r="91" ht="18" customHeight="1" spans="1:7">
      <c r="A91" s="5">
        <v>1</v>
      </c>
      <c r="B91" s="8" t="s">
        <v>441</v>
      </c>
      <c r="C91" s="18"/>
      <c r="D91" s="19"/>
      <c r="E91" s="18">
        <f>E62</f>
        <v>21200000</v>
      </c>
      <c r="F91" s="8" t="s">
        <v>442</v>
      </c>
      <c r="G91" s="21" t="s">
        <v>45</v>
      </c>
    </row>
    <row r="92" ht="18" customHeight="1" spans="1:7">
      <c r="A92" s="5">
        <v>2</v>
      </c>
      <c r="B92" s="8" t="s">
        <v>443</v>
      </c>
      <c r="C92" s="18"/>
      <c r="D92" s="19"/>
      <c r="E92" s="18">
        <f>E63</f>
        <v>925344</v>
      </c>
      <c r="F92" s="8" t="s">
        <v>444</v>
      </c>
      <c r="G92" s="21" t="s">
        <v>45</v>
      </c>
    </row>
    <row r="93" ht="30" customHeight="1" spans="1:7">
      <c r="A93" s="5">
        <v>3</v>
      </c>
      <c r="B93" s="8" t="s">
        <v>445</v>
      </c>
      <c r="C93" s="18"/>
      <c r="D93" s="19"/>
      <c r="E93" s="18">
        <f>E67</f>
        <v>37700000</v>
      </c>
      <c r="F93" s="8" t="s">
        <v>446</v>
      </c>
      <c r="G93" s="21" t="s">
        <v>45</v>
      </c>
    </row>
    <row r="94" ht="18" customHeight="1" spans="1:7">
      <c r="A94" s="5">
        <v>4</v>
      </c>
      <c r="B94" s="8" t="s">
        <v>447</v>
      </c>
      <c r="C94" s="18"/>
      <c r="D94" s="19"/>
      <c r="E94" s="18">
        <f>E74</f>
        <v>103992.56022409</v>
      </c>
      <c r="F94" s="8" t="s">
        <v>448</v>
      </c>
      <c r="G94" s="21" t="s">
        <v>365</v>
      </c>
    </row>
    <row r="95" ht="30" customHeight="1" spans="1:7">
      <c r="A95" s="5">
        <v>5</v>
      </c>
      <c r="B95" s="8" t="s">
        <v>428</v>
      </c>
      <c r="C95" s="18"/>
      <c r="D95" s="19"/>
      <c r="E95" s="18">
        <f>C77</f>
        <v>277</v>
      </c>
      <c r="F95" s="8" t="s">
        <v>449</v>
      </c>
      <c r="G95" s="21" t="s">
        <v>365</v>
      </c>
    </row>
  </sheetData>
  <mergeCells count="20">
    <mergeCell ref="A1:G1"/>
    <mergeCell ref="A2:G2"/>
    <mergeCell ref="A5:G5"/>
    <mergeCell ref="A15:G15"/>
    <mergeCell ref="A21:G21"/>
    <mergeCell ref="A28:G28"/>
    <mergeCell ref="A33:G33"/>
    <mergeCell ref="A45:G45"/>
    <mergeCell ref="A56:G56"/>
    <mergeCell ref="A71:G71"/>
    <mergeCell ref="A78:G78"/>
    <mergeCell ref="A80:G80"/>
    <mergeCell ref="A81:G81"/>
    <mergeCell ref="A82:G82"/>
    <mergeCell ref="A83:G83"/>
    <mergeCell ref="A84:G84"/>
    <mergeCell ref="A85:G85"/>
    <mergeCell ref="A86:G86"/>
    <mergeCell ref="A87:G87"/>
    <mergeCell ref="A89:G8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B1_Dữ liệu đầu vào</vt:lpstr>
      <vt:lpstr>Ngân sách</vt:lpstr>
      <vt:lpstr>B2_AOV</vt:lpstr>
      <vt:lpstr>CPC_Data</vt:lpstr>
      <vt:lpstr>Bước 8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Kiều Phương</cp:lastModifiedBy>
  <cp:revision>0</cp:revision>
  <dcterms:created xsi:type="dcterms:W3CDTF">2026-10-05T15:11:00Z</dcterms:created>
  <dcterms:modified xsi:type="dcterms:W3CDTF">2026-10-12T16:14:20Z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506B3E5317FC4EF7A05D4311F9AA92DD_12</vt:lpwstr>
  </property>
  <property fmtid="{D5CDD505-2E9C-101B-9397-08002B2CF9AE}" pid="3" name="KSOProductBuildVer">
    <vt:lpwstr>1033-12.1.0.24752</vt:lpwstr>
  </property>
  <property fmtid="{D5CDD505-2E9C-101B-9397-08002B2CF9AE}" pid="4" name="CalculationRule">
    <vt:i4>0</vt:i4>
  </property>
</Properties>
</file>